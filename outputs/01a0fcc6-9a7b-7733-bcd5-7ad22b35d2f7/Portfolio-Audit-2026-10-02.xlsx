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9a629814c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eb3361b8e18c4b45"/>
    <x:sheet xmlns:r="http://schemas.openxmlformats.org/officeDocument/2006/relationships" name="Y tuong" sheetId="2" r:id="R3b6cb7bcfeea46b6"/>
    <x:sheet xmlns:r="http://schemas.openxmlformats.org/officeDocument/2006/relationships" name="Cau hoi" sheetId="3" r:id="R3d772324460d4404"/>
    <x:sheet xmlns:r="http://schemas.openxmlformats.org/officeDocument/2006/relationships" name="Kiem thu" sheetId="4" r:id="Rbc4056af111a4dff"/>
    <x:sheet xmlns:r="http://schemas.openxmlformats.org/officeDocument/2006/relationships" name="Bang chung" sheetId="5" r:id="Rca092f93e6d1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0"/>
      <x:color rgb="FF24282E"/>
      <x:name val="Arial"/>
    </x:font>
    <x:font>
      <x:b/>
      <x:sz val="16"/>
      <x:color rgb="FF24282E"/>
      <x:name val="Arial"/>
    </x:font>
    <x:font>
      <x:b/>
      <x:sz val="11"/>
      <x:color rgb="FFA83232"/>
      <x:name val="Arial"/>
    </x:font>
    <x:font>
      <x:sz val="10"/>
      <x:color rgb="FF606975"/>
      <x:name val="Arial"/>
    </x:font>
    <x:font>
      <x:b/>
      <x:sz val="10"/>
      <x:color rgb="FFFFFFFF"/>
      <x:name val="Arial"/>
    </x:font>
    <x:font>
      <x:b/>
      <x:sz val="12"/>
      <x:color rgb="FF24282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282E"/>
      </x:patternFill>
    </x:fill>
    <x:fill>
      <x:patternFill patternType="solid">
        <x:fgColor rgb="FFFFF2D6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8323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9C2424"/>
      </x:font>
      <x:fill>
        <x:patternFill patternType="solid">
          <x:bgColor rgb="FFFBE7E4"/>
        </x:patternFill>
      </x:fill>
    </x:dxf>
    <x:dxf>
      <x:font>
        <x:b/>
        <x:color rgb="FF755315"/>
      </x:font>
      <x:fill>
        <x:patternFill patternType="solid">
          <x:bgColor rgb="FFFFF2D6"/>
        </x:patternFill>
      </x:fill>
    </x:dxf>
    <x:dxf>
      <x:font>
        <x:b/>
        <x:color rgb="FF43515C"/>
      </x:font>
      <x:fill>
        <x:patternFill patternType="solid">
          <x:bgColor rgb="FFE9EEF1"/>
        </x:patternFill>
      </x:fill>
    </x:dxf>
    <x:dxf>
      <x:font>
        <x:b/>
        <x:color rgb="FF9C2424"/>
      </x:font>
      <x:fill>
        <x:patternFill patternType="solid">
          <x:bgColor rgb="FFFBE7E4"/>
        </x:patternFill>
      </x:fill>
    </x:dxf>
    <x:dxf>
      <x:font>
        <x:b/>
        <x:color rgb="FF755315"/>
      </x:font>
      <x:fill>
        <x:patternFill patternType="solid">
          <x:bgColor rgb="FFFFF2D6"/>
        </x:patternFill>
      </x:fill>
    </x:dxf>
    <x:dxf>
      <x:font>
        <x:b/>
        <x:color rgb="FF43515C"/>
      </x:font>
      <x:fill>
        <x:patternFill patternType="solid">
          <x:bgColor rgb="FFE9EEF1"/>
        </x:patternFill>
      </x:fill>
    </x:dxf>
    <x:dxf>
      <x:font>
        <x:b/>
        <x:color rgb="FF9C2424"/>
      </x:font>
      <x:fill>
        <x:patternFill patternType="solid">
          <x:bgColor rgb="FFFB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bd522185b4195" /><Relationship Type="http://schemas.openxmlformats.org/officeDocument/2006/relationships/theme" Target="/xl/theme/theme1.xml" Id="Reef74bdaf69a4a7a" /><Relationship Type="http://schemas.openxmlformats.org/officeDocument/2006/relationships/sharedStrings" Target="/xl/sharedStrings.xml" Id="Rf45eb83435a849b2" /><Relationship Type="http://schemas.openxmlformats.org/officeDocument/2006/relationships/worksheet" Target="/xl/worksheets/sheet1.xml" Id="Reb3361b8e18c4b45" /><Relationship Type="http://schemas.openxmlformats.org/officeDocument/2006/relationships/worksheet" Target="/xl/worksheets/sheet2.xml" Id="R3b6cb7bcfeea46b6" /><Relationship Type="http://schemas.openxmlformats.org/officeDocument/2006/relationships/worksheet" Target="/xl/worksheets/sheet3.xml" Id="R3d772324460d4404" /><Relationship Type="http://schemas.openxmlformats.org/officeDocument/2006/relationships/worksheet" Target="/xl/worksheets/sheet4.xml" Id="Rbc4056af111a4dff" /><Relationship Type="http://schemas.openxmlformats.org/officeDocument/2006/relationships/worksheet" Target="/xl/worksheets/sheet5.xml" Id="Rca092f93e6d146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ed8f3fc68b949ce" /><Relationship Type="http://schemas.openxmlformats.org/officeDocument/2006/relationships/image" Target="/xl/media/image2.jpg" Id="Rf2ddd12c3157406d" /><Relationship Type="http://schemas.openxmlformats.org/officeDocument/2006/relationships/image" Target="/xl/media/image3.jpg" Id="R48a14dd8a67843f4" /><Relationship Type="http://schemas.openxmlformats.org/officeDocument/2006/relationships/image" Target="/xl/media/image4.jpg" Id="R39557558cee74852" /><Relationship Type="http://schemas.openxmlformats.org/officeDocument/2006/relationships/image" Target="/xl/media/image5.jpg" Id="R94803c65abe04962" /><Relationship Type="http://schemas.openxmlformats.org/officeDocument/2006/relationships/image" Target="/xl/media/image6.jpg" Id="Rb76b41c05d6b44ca" /><Relationship Type="http://schemas.openxmlformats.org/officeDocument/2006/relationships/image" Target="/xl/media/image7.jpg" Id="Rbe2a27b15e2d48ac" /><Relationship Type="http://schemas.openxmlformats.org/officeDocument/2006/relationships/image" Target="/xl/media/image8.jpg" Id="Rce1c9374f663436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9</xdr:row>
      <xdr:rowOff>0</xdr:rowOff>
    </xdr:from>
    <xdr:ext cx="4800600" cy="3000375"/>
    <xdr:pic>
      <xdr:nvPicPr>
        <xdr:cNvPr id="1" name="d42c642d-e9fd-4b32-9251-587872c247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8f3fc68b949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9</xdr:row>
      <xdr:rowOff>0</xdr:rowOff>
    </xdr:from>
    <xdr:ext cx="4800600" cy="3000375"/>
    <xdr:pic>
      <xdr:nvPicPr>
        <xdr:cNvPr id="2" name="b415dbde-4aa8-4c03-970a-f4d42a38df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ddd12c315740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30</xdr:row>
      <xdr:rowOff>0</xdr:rowOff>
    </xdr:from>
    <xdr:ext cx="4800600" cy="3000375"/>
    <xdr:pic>
      <xdr:nvPicPr>
        <xdr:cNvPr id="3" name="34f01e9a-be13-4922-9c3b-dd28487ed0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a14dd8a67843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30</xdr:row>
      <xdr:rowOff>0</xdr:rowOff>
    </xdr:from>
    <xdr:ext cx="1295400" cy="3000375"/>
    <xdr:pic>
      <xdr:nvPicPr>
        <xdr:cNvPr id="4" name="1819f4ae-daf2-4348-a3d8-fa2e8600da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57558cee748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51</xdr:row>
      <xdr:rowOff>0</xdr:rowOff>
    </xdr:from>
    <xdr:ext cx="1390650" cy="3000375"/>
    <xdr:pic>
      <xdr:nvPicPr>
        <xdr:cNvPr id="5" name="16c7e53f-6604-4e2f-8ab8-8087da09d7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803c65abe049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51</xdr:row>
      <xdr:rowOff>0</xdr:rowOff>
    </xdr:from>
    <xdr:ext cx="4810125" cy="2705100"/>
    <xdr:pic>
      <xdr:nvPicPr>
        <xdr:cNvPr id="6" name="7b0b53bf-f2f6-4718-8bd4-8781bf353f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6b41c05d6b44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72</xdr:row>
      <xdr:rowOff>0</xdr:rowOff>
    </xdr:from>
    <xdr:ext cx="2247900" cy="3000375"/>
    <xdr:pic>
      <xdr:nvPicPr>
        <xdr:cNvPr id="7" name="ce19af82-5cdb-40af-abb3-e493183d6f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a27b15e2d48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72</xdr:row>
      <xdr:rowOff>0</xdr:rowOff>
    </xdr:from>
    <xdr:ext cx="4810125" cy="2705100"/>
    <xdr:pic>
      <xdr:nvPicPr>
        <xdr:cNvPr id="8" name="c6cdee6e-666e-4e22-bd14-f9a4aac574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1c9374f66343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ortfolioAudit" displayName="PortfolioAudit" ref="A12:L54" headerRowCount="1" totalsRowCount="0" totalsRowShown="0">
  <x:autoFilter ref="A12:L54"/>
  <x:tableColumns count="12">
    <x:tableColumn id="1" name="ID"/>
    <x:tableColumn id="2" name="Ưu tiên"/>
    <x:tableColumn id="3" name="Loại"/>
    <x:tableColumn id="4" name="Môi trường"/>
    <x:tableColumn id="5" name="Vấn đề"/>
    <x:tableColumn id="6" name="Tác động"/>
    <x:tableColumn id="7" name="Bằng chứng"/>
    <x:tableColumn id="8" name="Giải pháp tối thiểu"/>
    <x:tableColumn id="9" name="Nghiệm thu"/>
    <x:tableColumn id="10" name="Giai đoạn"/>
    <x:tableColumn id="11" name="Xác minh"/>
    <x:tableColumn id="12" name="Nguồn / vị trí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ortfolioIdeas" displayName="PortfolioIdeas" ref="A7:J27" headerRowCount="1" totalsRowCount="0" totalsRowShown="0">
  <x:autoFilter ref="A7:J27"/>
  <x:tableColumns count="10">
    <x:tableColumn id="1" name="ID"/>
    <x:tableColumn id="2" name="Ưu tiên"/>
    <x:tableColumn id="3" name="Ý tưởng"/>
    <x:tableColumn id="4" name="Thực hiện cụ thể"/>
    <x:tableColumn id="5" name="Giá trị"/>
    <x:tableColumn id="6" name="Cách làm tối thiểu"/>
    <x:tableColumn id="7" name="Giới hạn / điều kiện"/>
    <x:tableColumn id="8" name="Skill tham khảo"/>
    <x:tableColumn id="9" name="Giai đoạn"/>
    <x:tableColumn id="10" name="Trạng thái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ortfolioQuestions" displayName="PortfolioQuestions" ref="A6:G20" headerRowCount="1" totalsRowCount="0" totalsRowShown="0">
  <x:autoFilter ref="A6:G20"/>
  <x:tableColumns count="7">
    <x:tableColumn id="1" name="ID"/>
    <x:tableColumn id="2" name="Nhánh"/>
    <x:tableColumn id="3" name="Câu hỏi"/>
    <x:tableColumn id="4" name="Câu trả lời"/>
    <x:tableColumn id="5" name="Cần ai cung cấp"/>
    <x:tableColumn id="6" name="Trạng thái"/>
    <x:tableColumn id="7" name="Đề xuất / vì sao cầ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ortfolioTests" displayName="PortfolioTests" ref="A6:G33" headerRowCount="1" totalsRowCount="0" totalsRowShown="0">
  <x:autoFilter ref="A6:G33"/>
  <x:tableColumns count="7">
    <x:tableColumn id="1" name="ID"/>
    <x:tableColumn id="2" name="Hạng mục"/>
    <x:tableColumn id="3" name="Cách kiểm"/>
    <x:tableColumn id="4" name="Kết quả"/>
    <x:tableColumn id="5" name="Quan sát"/>
    <x:tableColumn id="6" name="Giới hạn"/>
    <x:tableColumn id="7" name="Nguồn / liên qua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f4b56150ec44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77d44c9d34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bb6a9046304a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85604f972144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2898b197aec462c" /></Relationships>
</file>

<file path=xl/worksheets/sheet1.xml><?xml version="1.0" encoding="utf-8"?>
<x:worksheet xmlns:x="http://schemas.openxmlformats.org/spreadsheetml/2006/main">
  <x:sheetPr>
    <x:tabColor rgb="FF24282E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8" hidden="0" customWidth="1"/>
    <x:col min="2" max="2" width="9" hidden="0" customWidth="1"/>
    <x:col min="3" max="3" width="15" hidden="0" customWidth="1"/>
    <x:col min="4" max="4" width="18" hidden="0" customWidth="1"/>
    <x:col min="5" max="5" width="34" hidden="0" customWidth="1"/>
    <x:col min="6" max="6" width="35" hidden="0" customWidth="1"/>
    <x:col min="7" max="7" width="46" hidden="0" customWidth="1"/>
    <x:col min="8" max="8" width="46" hidden="0" customWidth="1"/>
    <x:col min="9" max="9" width="42" hidden="0" customWidth="1"/>
    <x:col min="10" max="10" width="22" hidden="0" customWidth="1"/>
    <x:col min="11" max="11" width="21" hidden="0" customWidth="1"/>
    <x:col min="12" max="12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Portfolio audit và kế hoạch nâng cấp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Ngày</x:v>
      </x:c>
      <x:c r="B3" s="5" t="d">
        <x:v>2026-10-02T00:00:00.000Z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2" t="str">
        <x:v>Mục tiêu</x:v>
      </x:c>
      <x:c r="B4" s="6" t="str">
        <x:v>Junior UX/UI hoặc Product Designer, product team. Cinematic, motion có chọn lọc.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P1</x:v>
      </x:c>
      <x:c r="B5" s="9" t="n">
        <x:f>COUNTIFS(B13:B54,"P1")</x:f>
        <x:v>17</x:v>
      </x:c>
      <x:c r="C5" s="8" t="str">
        <x:v>P2</x:v>
      </x:c>
      <x:c r="D5" s="9" t="n">
        <x:f>COUNTIFS(B13:B54,"P2")</x:f>
        <x:v>24</x:v>
      </x:c>
      <x:c r="E5" s="8" t="str">
        <x:v>P3</x:v>
      </x:c>
      <x:c r="F5" s="9" t="n">
        <x:f>COUNTIFS(B13:B54,"P3")</x:f>
        <x:v>1</x:v>
      </x:c>
      <x:c r="G5" s="2"/>
      <x:c r="H5" s="2"/>
      <x:c r="I5" s="2"/>
      <x:c r="J5" s="2"/>
      <x:c r="K5" s="2"/>
      <x:c r="L5" s="2"/>
    </x:row>
    <x:row r="6">
      <x:c r="A6" s="2" t="str">
        <x:v>Tái hiện</x:v>
      </x:c>
      <x:c r="B6" s="7" t="n">
        <x:f>COUNTIFS(K13:K54,"Đã tái hiện")</x:f>
        <x:v>25</x:v>
      </x:c>
      <x:c r="C6" s="2" t="str">
        <x:v>Code</x:v>
      </x:c>
      <x:c r="D6" s="7" t="n">
        <x:f>COUNTIFS(K13:K54,"Code xác nhận")</x:f>
        <x:v>12</x:v>
      </x:c>
      <x:c r="E6" s="2" t="str">
        <x:v>Cần test</x:v>
      </x:c>
      <x:c r="F6" s="7" t="n">
        <x:f>COUNTIFS(K13:K54,"Cần kiểm tra thêm")</x:f>
        <x:v>5</x:v>
      </x:c>
      <x:c r="G6" s="2"/>
      <x:c r="H6" s="2"/>
      <x:c r="I6" s="2"/>
      <x:c r="J6" s="2"/>
      <x:c r="K6" s="2"/>
      <x:c r="L6" s="2"/>
    </x:row>
    <x:row r="7">
      <x:c r="A7" s="10" t="str">
        <x:v>P1 cần xử lý trước hoặc cùng bản nâng cấp. P2 cải thiện quan trọng. P3 chỉ thêm sau bản chính.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</x:row>
    <x:row r="8">
      <x:c r="A8" s="10" t="str">
        <x:v>Thứ tự: sửa runtime/mobile/link/ảnh trước deploy, kể Edura rõ đóng góp Lead UI, rồi polish cinematic.</x:v>
      </x:c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</x:row>
    <x:row r="9">
      <x:c r="A9" s="10" t="str">
        <x:v>Build local đạt, live HTTP 200. Chưa truy cập lịch sử build Vercel, chưa có Lighthouse hoặc user study.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</x:row>
    <x:row r="10">
      <x:c r="A10" s="10" t="str">
        <x:v>Lọc Môi trường để phân biệt bản public và working tree. Trạng thái là bằng chứng audit, chưa phải trạng thái đã sửa.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32" customHeight="1">
      <x:c r="A12" s="17" t="str">
        <x:v>ID</x:v>
      </x:c>
      <x:c r="B12" s="18" t="str">
        <x:v>Ưu tiên</x:v>
      </x:c>
      <x:c r="C12" s="18" t="str">
        <x:v>Loại</x:v>
      </x:c>
      <x:c r="D12" s="18" t="str">
        <x:v>Môi trường</x:v>
      </x:c>
      <x:c r="E12" s="18" t="str">
        <x:v>Vấn đề</x:v>
      </x:c>
      <x:c r="F12" s="18" t="str">
        <x:v>Tác động</x:v>
      </x:c>
      <x:c r="G12" s="18" t="str">
        <x:v>Bằng chứng</x:v>
      </x:c>
      <x:c r="H12" s="18" t="str">
        <x:v>Giải pháp tối thiểu</x:v>
      </x:c>
      <x:c r="I12" s="18" t="str">
        <x:v>Nghiệm thu</x:v>
      </x:c>
      <x:c r="J12" s="18" t="str">
        <x:v>Giai đoạn</x:v>
      </x:c>
      <x:c r="K12" s="18" t="str">
        <x:v>Xác minh</x:v>
      </x:c>
      <x:c r="L12" s="19" t="str">
        <x:v>Nguồn / vị trí</x:v>
      </x:c>
    </x:row>
    <x:row r="13" ht="94" customHeight="1">
      <x:c r="A13" s="12" t="str">
        <x:v>A01</x:v>
      </x:c>
      <x:c r="B13" s="12" t="str">
        <x:v>P1</x:v>
      </x:c>
      <x:c r="C13" s="12" t="str">
        <x:v>Bug</x:v>
      </x:c>
      <x:c r="D13" s="12" t="str">
        <x:v>Local</x:v>
      </x:c>
      <x:c r="E13" s="12" t="str">
        <x:v>Menu section gây TypeError</x:v>
      </x:c>
      <x:c r="F13" s="12" t="str">
        <x:v>Work/Journey/Contact không đưa người xem tới nội dung.</x:v>
      </x:c>
      <x:c r="G13" s="12" t="str">
        <x:v>Console: undefined.style trong ScrollSmoother.offset. Nav.jsx:43-49; log local-console.json.</x:v>
      </x:c>
      <x:c r="H13" s="12" t="str">
        <x:v>Resolve string bằng document.querySelector trước khi truyền Element vào GSAP. Dùng native anchor là hướng đơn giản hơn khi redesign.</x:v>
      </x:c>
      <x:c r="I13" s="12" t="str">
        <x:v>Reload sạch. Click và Enter trên mọi mục. Không còn error, section tới đúng vị trí.</x:v>
      </x:c>
      <x:c r="J13" s="12" t="str">
        <x:v>Trước deploy</x:v>
      </x:c>
      <x:c r="K13" s="12" t="str">
        <x:v>Đã tái hiện</x:v>
      </x:c>
      <x:c r="L13" s="12" t="str">
        <x:v>https://gsap.com/resources/React/</x:v>
      </x:c>
    </x:row>
    <x:row r="14" ht="94" customHeight="1">
      <x:c r="A14" s="12" t="str">
        <x:v>A02</x:v>
      </x:c>
      <x:c r="B14" s="12" t="str">
        <x:v>P1</x:v>
      </x:c>
      <x:c r="C14" s="12" t="str">
        <x:v>Bug</x:v>
      </x:c>
      <x:c r="D14" s="12" t="str">
        <x:v>Live + Local</x:v>
      </x:c>
      <x:c r="E14" s="12" t="str">
        <x:v>Navbar bị cắt trên mobile</x:v>
      </x:c>
      <x:c r="F14" s="12" t="str">
        <x:v>Mục Contact không đọc hoặc chạm được đầy đủ.</x:v>
      </x:c>
      <x:c r="G14" s="12" t="str">
        <x:v>Live 320: Contact x=276,9 tới 327,3. Local 375: Contact x=347,3 tới 397,7. E04/E05.</x:v>
      </x:c>
      <x:c r="H14" s="12" t="str">
        <x:v>Giữ logo và menu thu gọn ở mobile. Link native, nút mở menu có aria-expanded và vùng chạm rộng.</x:v>
      </x:c>
      <x:c r="I14" s="12" t="str">
        <x:v>320/375/390 px: không chồng chữ, mọi mục mở được bằng touch và keyboard.</x:v>
      </x:c>
      <x:c r="J14" s="12" t="str">
        <x:v>Trước deploy</x:v>
      </x:c>
      <x:c r="K14" s="12" t="str">
        <x:v>Đã tái hiện</x:v>
      </x:c>
      <x:c r="L14" s="12" t="str">
        <x:v>src/components/Nav.jsx:56-77</x:v>
      </x:c>
    </x:row>
    <x:row r="15" ht="94" customHeight="1">
      <x:c r="A15" s="12" t="str">
        <x:v>A03</x:v>
      </x:c>
      <x:c r="B15" s="12" t="str">
        <x:v>P1</x:v>
      </x:c>
      <x:c r="C15" s="12" t="str">
        <x:v>Bug</x:v>
      </x:c>
      <x:c r="D15" s="12" t="str">
        <x:v>Live + Local</x:v>
      </x:c>
      <x:c r="E15" s="12" t="str">
        <x:v>Email/contact bị cắt</x:v>
      </x:c>
      <x:c r="F15" s="12" t="str">
        <x:v>Kênh liên hệ chính mất chữ hoặc mép nút.</x:v>
      </x:c>
      <x:c r="G15" s="12" t="str">
        <x:v>Live 320: mail link left=-60,5 px. Live 375: left=-5,5 px. Local 375: mép phải nút vượt vùng nhìn. E04/E05.</x:v>
      </x:c>
      <x:c r="H15" s="12" t="str">
        <x:v>Email được wrap hoặc break hợp lý. Giảm padding mobile, đặt max-width:100%. Giữ mailto đúng.</x:v>
      </x:c>
      <x:c r="I15" s="12" t="str">
        <x:v>Email và icon hiển thị đủ ở 320/375 px, zoom 200%, không cắt nút.</x:v>
      </x:c>
      <x:c r="J15" s="12" t="str">
        <x:v>Trước deploy</x:v>
      </x:c>
      <x:c r="K15" s="12" t="str">
        <x:v>Đã tái hiện</x:v>
      </x:c>
      <x:c r="L15" s="12" t="str">
        <x:v>src/components/Footer.jsx:92-103</x:v>
      </x:c>
    </x:row>
    <x:row r="16" ht="94" customHeight="1">
      <x:c r="A16" s="12" t="str">
        <x:v>A04</x:v>
      </x:c>
      <x:c r="B16" s="12" t="str">
        <x:v>P1</x:v>
      </x:c>
      <x:c r="C16" s="12" t="str">
        <x:v>Bug</x:v>
      </x:c>
      <x:c r="D16" s="12" t="str">
        <x:v>Live + Local</x:v>
      </x:c>
      <x:c r="E16" s="12" t="str">
        <x:v>2/3 dự án không có đích case study</x:v>
      </x:c>
      <x:c r="F16" s="12" t="str">
        <x:v>VERIS/VIE trông có thể click nhưng không mở được và không vào Tab order.</x:v>
      </x:c>
      <x:c r="G16" s="12" t="str">
        <x:v>DOM href=null. data.js:33-50. Work.jsx:154.</x:v>
      </x:c>
      <x:c r="H16" s="12" t="str">
        <x:v>Điền URL thật. Nếu chưa sẵn sàng, dùng card thường với trạng thái rõ ràng.</x:v>
      </x:c>
      <x:c r="I16" s="12" t="str">
        <x:v>Mọi card được giới thiệu là case study có URL hoạt động và dùng được bằng Enter.</x:v>
      </x:c>
      <x:c r="J16" s="12" t="str">
        <x:v>Trước deploy</x:v>
      </x:c>
      <x:c r="K16" s="12" t="str">
        <x:v>Đã tái hiện</x:v>
      </x:c>
      <x:c r="L16" s="12" t="str">
        <x:v>https://my-portfolio-2026-seven.vercel.app/</x:v>
      </x:c>
    </x:row>
    <x:row r="17" ht="94" customHeight="1">
      <x:c r="A17" s="12" t="str">
        <x:v>A05</x:v>
      </x:c>
      <x:c r="B17" s="12" t="str">
        <x:v>P2</x:v>
      </x:c>
      <x:c r="C17" s="12" t="str">
        <x:v>Bug</x:v>
      </x:c>
      <x:c r="D17" s="12" t="str">
        <x:v>Live + Local</x:v>
      </x:c>
      <x:c r="E17" s="12" t="str">
        <x:v>LinkedIn và Website dùng #</x:v>
      </x:c>
      <x:c r="F17" s="12" t="str">
        <x:v>Nhấp vào không tới hồ sơ chuyên nghiệp.</x:v>
      </x:c>
      <x:c r="G17" s="12" t="str">
        <x:v>DOM có hai href="#". Live icon còn thiếu tên truy cập.</x:v>
      </x:c>
      <x:c r="H17" s="12" t="str">
        <x:v>Điền LinkedIn thật và Behance. Bỏ icon chưa có đích.</x:v>
      </x:c>
      <x:c r="I17" s="12" t="str">
        <x:v>Mọi social link có tên và URL đúng, không còn #.</x:v>
      </x:c>
      <x:c r="J17" s="12" t="str">
        <x:v>Trước deploy</x:v>
      </x:c>
      <x:c r="K17" s="12" t="str">
        <x:v>Đã tái hiện</x:v>
      </x:c>
      <x:c r="L17" s="12" t="str">
        <x:v>src/components/Footer.jsx:108-115</x:v>
      </x:c>
    </x:row>
    <x:row r="18" ht="94" customHeight="1">
      <x:c r="A18" s="12" t="str">
        <x:v>A06</x:v>
      </x:c>
      <x:c r="B18" s="12" t="str">
        <x:v>P1</x:v>
      </x:c>
      <x:c r="C18" s="12" t="str">
        <x:v>Bug</x:v>
      </x:c>
      <x:c r="D18" s="12" t="str">
        <x:v>Local</x:v>
      </x:c>
      <x:c r="E18" s="12" t="str">
        <x:v>Gallery có nội dung vượt khung 720 px</x:v>
      </x:c>
      <x:c r="F18" s="12" t="str">
        <x:v>Heading/progress và một phần card bị overflow-hidden cắt.</x:v>
      </x:c>
      <x:c r="G18" s="12" t="str">
        <x:v>1280×720: heading top=-143,6; pin top=-115; progress bottom=621 &gt; pin bottom=605. E06.</x:v>
      </x:c>
      <x:c r="H18" s="12" t="str">
        <x:v>Bỏ fixed h-screen cho gallery. Ưu tiên grid dọc; nếu pin, cần fallback theo chiều cao và filter chỉ còn 1 card.</x:v>
      </x:c>
      <x:c r="I18" s="12" t="str">
        <x:v>720 px và landscape: heading, card, tags, controls đều đọc được.</x:v>
      </x:c>
      <x:c r="J18" s="12" t="str">
        <x:v>Trước deploy</x:v>
      </x:c>
      <x:c r="K18" s="12" t="str">
        <x:v>Đã tái hiện</x:v>
      </x:c>
      <x:c r="L18" s="12" t="str">
        <x:v>src/components/Work.jsx:129-194</x:v>
      </x:c>
    </x:row>
    <x:row r="19" ht="94" customHeight="1">
      <x:c r="A19" s="12" t="str">
        <x:v>A07</x:v>
      </x:c>
      <x:c r="B19" s="12" t="str">
        <x:v>P2</x:v>
      </x:c>
      <x:c r="C19" s="12" t="str">
        <x:v>Bug</x:v>
      </x:c>
      <x:c r="D19" s="12" t="str">
        <x:v>Local</x:v>
      </x:c>
      <x:c r="E19" s="12" t="str">
        <x:v>Chữ Education vượt cột tablet</x:v>
      </x:c>
      <x:c r="F19" s="12" t="str">
        <x:v>Tiêu đề lớn lấn sang nội dung bên phải.</x:v>
      </x:c>
      <x:c r="G19" s="12" t="str">
        <x:v>768 px: edu-title clientWidth=189, scrollWidth=353. Education.jsx:52-55.</x:v>
      </x:c>
      <x:c r="H19" s="12" t="str">
        <x:v>Giảm font bằng clamp hoặc chỉ chia cột từ lg. Không chữa bằng overflow hidden.</x:v>
      </x:c>
      <x:c r="I19" s="12" t="str">
        <x:v>768/820/1024 px: tiêu đề không lấn timeline, không gãy từ.</x:v>
      </x:c>
      <x:c r="J19" s="12" t="str">
        <x:v>Trước deploy</x:v>
      </x:c>
      <x:c r="K19" s="12" t="str">
        <x:v>Đã tái hiện</x:v>
      </x:c>
      <x:c r="L19" s="12" t="str">
        <x:v>src/components/Education.jsx:50-65</x:v>
      </x:c>
    </x:row>
    <x:row r="20" ht="94" customHeight="1">
      <x:c r="A20" s="12" t="str">
        <x:v>A08</x:v>
      </x:c>
      <x:c r="B20" s="12" t="str">
        <x:v>P2</x:v>
      </x:c>
      <x:c r="C20" s="12" t="str">
        <x:v>Pain point</x:v>
      </x:c>
      <x:c r="D20" s="12" t="str">
        <x:v>Local</x:v>
      </x:c>
      <x:c r="E20" s="12" t="str">
        <x:v>CONNECT vỡ thành CONNE / CT ở tablet</x:v>
      </x:c>
      <x:c r="F20" s="12" t="str">
        <x:v>CTA cuối trang mất sự chỉn chu.</x:v>
      </x:c>
      <x:c r="G20" s="12" t="str">
        <x:v>E07: screenshot tablet 768×1024.</x:v>
      </x:c>
      <x:c r="H20" s="12" t="str">
        <x:v>Điều chỉnh scale chữ và breakpoint footer. Tránh để SplitText chia từ khi cột hẹp.</x:v>
      </x:c>
      <x:c r="I20" s="12" t="str">
        <x:v>CONNECT giữ nguyên từ ở tablet, heading không che contact.</x:v>
      </x:c>
      <x:c r="J20" s="12" t="str">
        <x:v>Visual polish</x:v>
      </x:c>
      <x:c r="K20" s="12" t="str">
        <x:v>Đã tái hiện</x:v>
      </x:c>
      <x:c r="L20" s="12" t="str">
        <x:v>src/components/Footer.jsx:87-94</x:v>
      </x:c>
    </x:row>
    <x:row r="21" ht="94" customHeight="1">
      <x:c r="A21" s="12" t="str">
        <x:v>A09</x:v>
      </x:c>
      <x:c r="B21" s="12" t="str">
        <x:v>P1</x:v>
      </x:c>
      <x:c r="C21" s="12" t="str">
        <x:v>Bug</x:v>
      </x:c>
      <x:c r="D21" s="12" t="str">
        <x:v>Local</x:v>
      </x:c>
      <x:c r="E21" s="12" t="str">
        <x:v>Lint toàn repo thất bại</x:v>
      </x:c>
      <x:c r="F21" s="12" t="str">
        <x:v>CI có gate lint sẽ chặn. Vercel build hiện tại vẫn có thể thành công.</x:v>
      </x:c>
      <x:c r="G21" s="12" t="str">
        <x:v>npm run lint: 488 errors, 26 warnings. 486 errors nằm ngoài src trong gsap-public.</x:v>
      </x:c>
      <x:c r="H21" s="12" t="str">
        <x:v>Đưa bản vendored gsap-public ra khỏi phạm vi lint hoặc bỏ bản sao sau khi xác minh không dùng. Dùng dependency gsap hiện có.</x:v>
      </x:c>
      <x:c r="I21" s="12" t="str">
        <x:v>npm run lint exit 0. Không disable rules toàn repo để che lỗi.</x:v>
      </x:c>
      <x:c r="J21" s="12" t="str">
        <x:v>Trước deploy</x:v>
      </x:c>
      <x:c r="K21" s="12" t="str">
        <x:v>Đã tái hiện</x:v>
      </x:c>
      <x:c r="L21" s="12" t="str">
        <x:v>eslint.config.js:8; gsap-public/</x:v>
      </x:c>
    </x:row>
    <x:row r="22" ht="94" customHeight="1">
      <x:c r="A22" s="12" t="str">
        <x:v>A10</x:v>
      </x:c>
      <x:c r="B22" s="12" t="str">
        <x:v>P2</x:v>
      </x:c>
      <x:c r="C22" s="12" t="str">
        <x:v>Bug</x:v>
      </x:c>
      <x:c r="D22" s="12" t="str">
        <x:v>Local</x:v>
      </x:c>
      <x:c r="E22" s="12" t="str">
        <x:v>Hai lỗi lint trong source</x:v>
      </x:c>
      <x:c r="F22" s="12" t="str">
        <x:v>Source chưa đạt kiểm tra đã cấu hình. Chưa chứng minh cả hai là crash runtime.</x:v>
      </x:c>
      <x:c r="G22" s="12" t="str">
        <x:v>eslint src: Preloader.jsx:13 và Work.jsx:112, react-hooks/refs.</x:v>
      </x:c>
      <x:c r="H22" s="12" t="str">
        <x:v>Chuyển cập nhật ref callback khỏi render. Kiểm tra tương tác contextSafe với analyzer ở Work trước khi chọn fix hoặc exception hẹp.</x:v>
      </x:c>
      <x:c r="I22" s="12" t="str">
        <x:v>Lint src exit 0 và filter/loader hoạt động. Không tắt react-hooks toàn cục.</x:v>
      </x:c>
      <x:c r="J22" s="12" t="str">
        <x:v>Trước deploy</x:v>
      </x:c>
      <x:c r="K22" s="12" t="str">
        <x:v>Đã tái hiện</x:v>
      </x:c>
      <x:c r="L22" s="12" t="str">
        <x:v>support/source-lint.json</x:v>
      </x:c>
    </x:row>
    <x:row r="23" ht="94" customHeight="1">
      <x:c r="A23" s="12" t="str">
        <x:v>A11</x:v>
      </x:c>
      <x:c r="B23" s="12" t="str">
        <x:v>P2</x:v>
      </x:c>
      <x:c r="C23" s="12" t="str">
        <x:v>Bug</x:v>
      </x:c>
      <x:c r="D23" s="12" t="str">
        <x:v>Local</x:v>
      </x:c>
      <x:c r="E23" s="12" t="str">
        <x:v>Preloader tween không tìm thấy welcome node</x:v>
      </x:c>
      <x:c r="F23" s="12" t="str">
        <x:v>Hiệu ứng welcome dự kiến không chạy.</x:v>
      </x:c>
      <x:c r="G23" s="12" t="str">
        <x:v>Console GSAP target .welcome-word not found. Target chỉ mount sau setWelcome.</x:v>
      </x:c>
      <x:c r="H23" s="12" t="str">
        <x:v>Giữ node trong DOM rồi đổi visibility hoặc tạo tween sau khi node đã mount.</x:v>
      </x:c>
      <x:c r="I23" s="12" t="str">
        <x:v>Reload: không còn target not found, không còn overlay sau intro.</x:v>
      </x:c>
      <x:c r="J23" s="12" t="str">
        <x:v>Trước deploy</x:v>
      </x:c>
      <x:c r="K23" s="12" t="str">
        <x:v>Đã tái hiện</x:v>
      </x:c>
      <x:c r="L23" s="12" t="str">
        <x:v>src/components/Preloader.jsx:55-64</x:v>
      </x:c>
    </x:row>
    <x:row r="24" ht="94" customHeight="1">
      <x:c r="A24" s="12" t="str">
        <x:v>A12</x:v>
      </x:c>
      <x:c r="B24" s="12" t="str">
        <x:v>P1</x:v>
      </x:c>
      <x:c r="C24" s="12" t="str">
        <x:v>Pain point</x:v>
      </x:c>
      <x:c r="D24" s="12" t="str">
        <x:v>Live + Local</x:v>
      </x:c>
      <x:c r="E24" s="12" t="str">
        <x:v>Preloader phần trăm giả khóa nội dung</x:v>
      </x:c>
      <x:c r="F24" s="12" t="str">
        <x:v>Recruiter phải đợi intro mỗi reload trước khi xem năng lực.</x:v>
      </x:c>
      <x:c r="G24" s="12" t="str">
        <x:v>Counter theo duration, không theo tài nguyên. Local timeline khoảng 5,05 s.</x:v>
      </x:c>
      <x:c r="H24" s="12" t="str">
        <x:v>Bỏ counter giả. Intro 0,6-0,9 s không khóa đọc/click; reduced motion hiển thị ngay.</x:v>
      </x:c>
      <x:c r="I24" s="12" t="str">
        <x:v>Không trì hoãn CTA hoặc case study vì intro. Thời gian ghi là thiết kế, không gọi là thời gian tải.</x:v>
      </x:c>
      <x:c r="J24" s="12" t="str">
        <x:v>Trước deploy</x:v>
      </x:c>
      <x:c r="K24" s="12" t="str">
        <x:v>Code xác nhận</x:v>
      </x:c>
      <x:c r="L24" s="12" t="str">
        <x:v>src/components/Preloader.jsx:37-74; App.jsx:42-47</x:v>
      </x:c>
    </x:row>
    <x:row r="25" ht="94" customHeight="1">
      <x:c r="A25" s="12" t="str">
        <x:v>A13</x:v>
      </x:c>
      <x:c r="B25" s="12" t="str">
        <x:v>P1</x:v>
      </x:c>
      <x:c r="C25" s="12" t="str">
        <x:v>Pain point</x:v>
      </x:c>
      <x:c r="D25" s="12" t="str">
        <x:v>Live + Local</x:v>
      </x:c>
      <x:c r="E25" s="12" t="str">
        <x:v>Ảnh cover gốc quá nặng</x:v>
      </x:c>
      <x:c r="F25" s="12" t="str">
        <x:v>Tăng dữ liệu tải và bộ nhớ trên thiết bị di động.</x:v>
      </x:c>
      <x:c r="G25" s="12" t="str">
        <x:v>project2.jpg 11.483.789 bytes, 7680×4320. Avatar + 3 cover = 17.210.780 bytes.</x:v>
      </x:c>
      <x:c r="H25" s="12" t="str">
        <x:v>Xuất WebP/AVIF từ asset gốc, đúng kích thước hiển thị. srcset/sizes; ưu tiên project2 trước.</x:v>
      </x:c>
      <x:c r="I25" s="12" t="str">
        <x:v>Đo bytes thực tế sau xuất. Cover mobile khoảng 200-400 KB là ngân sách đề xuất, không phải số đã đạt.</x:v>
      </x:c>
      <x:c r="J25" s="12" t="str">
        <x:v>Trước deploy</x:v>
      </x:c>
      <x:c r="K25" s="12" t="str">
        <x:v>Code xác nhận</x:v>
      </x:c>
      <x:c r="L25" s="12" t="str">
        <x:v>public/project2.jpg; src/components/Work.jsx:163</x:v>
      </x:c>
    </x:row>
    <x:row r="26" ht="94" customHeight="1">
      <x:c r="A26" s="12" t="str">
        <x:v>A14</x:v>
      </x:c>
      <x:c r="B26" s="12" t="str">
        <x:v>P2</x:v>
      </x:c>
      <x:c r="C26" s="12" t="str">
        <x:v>Pain point</x:v>
      </x:c>
      <x:c r="D26" s="12" t="str">
        <x:v>Local</x:v>
      </x:c>
      <x:c r="E26" s="12" t="str">
        <x:v>Ảnh chưa có chiến lược responsive</x:v>
      </x:c>
      <x:c r="F26" s="12" t="str">
        <x:v>Mobile vẫn tải ảnh desktop; avatar dưới fold tải sớm.</x:v>
      </x:c>
      <x:c r="G26" s="12" t="str">
        <x:v>Avatar không lazy. Cover lazy nhưng thiếu srcset/sizes. Khung đã có tỷ lệ nên chưa kết luận CLS lỗi.</x:v>
      </x:c>
      <x:c r="H26" s="12" t="str">
        <x:v>Lazy avatar. Khai báo kích thước nội tại và responsive variants.</x:v>
      </x:c>
      <x:c r="I26" s="12" t="str">
        <x:v>Ảnh nhỏ được chọn ở mobile. Khung không nhảy khi ảnh tải.</x:v>
      </x:c>
      <x:c r="J26" s="12" t="str">
        <x:v>Trước deploy</x:v>
      </x:c>
      <x:c r="K26" s="12" t="str">
        <x:v>Code xác nhận</x:v>
      </x:c>
      <x:c r="L26" s="12" t="str">
        <x:v>src/components/About.jsx:112; Work.jsx:163</x:v>
      </x:c>
    </x:row>
    <x:row r="27" ht="94" customHeight="1">
      <x:c r="A27" s="12" t="str">
        <x:v>A15</x:v>
      </x:c>
      <x:c r="B27" s="12" t="str">
        <x:v>P1</x:v>
      </x:c>
      <x:c r="C27" s="12" t="str">
        <x:v>Bug</x:v>
      </x:c>
      <x:c r="D27" s="12" t="str">
        <x:v>Local</x:v>
      </x:c>
      <x:c r="E27" s="12" t="str">
        <x:v>Reduced motion chưa bao phủ GSAP</x:v>
      </x:c>
      <x:c r="F27" s="12" t="str">
        <x:v>Marquee, parallax, pin, cursor, scramble vẫn được tạo.</x:v>
      </x:c>
      <x:c r="G27" s="12" t="str">
        <x:v>App/Hero/Preloader có nhánh reduce; Work/About/Education/Footer/Marquee/Cursor không có. CSS chỉ tắt animation CSS.</x:v>
      </x:c>
      <x:c r="H27" s="12" t="str">
        <x:v>Dùng gsap.matchMedia cho các motion liên quan. Reduced motion render trạng thái cuối, không pin/scrub/scramble.</x:v>
      </x:c>
      <x:c r="I27" s="12" t="str">
        <x:v>Test runtime với reduced motion: nội dung đủ và mọi hành động còn dùng được.</x:v>
      </x:c>
      <x:c r="J27" s="12" t="str">
        <x:v>Trước deploy</x:v>
      </x:c>
      <x:c r="K27" s="12" t="str">
        <x:v>Code xác nhận</x:v>
      </x:c>
      <x:c r="L27" s="12" t="str">
        <x:v>src/index.css:89-93; các components GSAP</x:v>
      </x:c>
    </x:row>
    <x:row r="28" ht="94" customHeight="1">
      <x:c r="A28" s="12" t="str">
        <x:v>A16</x:v>
      </x:c>
      <x:c r="B28" s="12" t="str">
        <x:v>P1</x:v>
      </x:c>
      <x:c r="C28" s="12" t="str">
        <x:v>Bug</x:v>
      </x:c>
      <x:c r="D28" s="12" t="str">
        <x:v>Live + Local</x:v>
      </x:c>
      <x:c r="E28" s="12" t="str">
        <x:v>Ba marquee chạy liên tục không có pause</x:v>
      </x:c>
      <x:c r="F28" s="12" t="str">
        <x:v>Khó tập trung vào nội dung bên cạnh.</x:v>
      </x:c>
      <x:c r="G28" s="12" t="str">
        <x:v>Marquee repeat:-1. Không có control pause/stop.</x:v>
      </x:c>
      <x:c r="H28" s="12" t="str">
        <x:v>Giữ tối đa một marquee có mục đích và pause control, hoặc dùng dải tĩnh.</x:v>
      </x:c>
      <x:c r="I28" s="12" t="str">
        <x:v>Chuyển động &gt;5 s có cách dừng; reduced motion không chạy.</x:v>
      </x:c>
      <x:c r="J28" s="12" t="str">
        <x:v>Trước deploy</x:v>
      </x:c>
      <x:c r="K28" s="12" t="str">
        <x:v>Code xác nhận</x:v>
      </x:c>
      <x:c r="L28" s="12" t="str">
        <x:v>https://www.w3.org/WAI/WCAG22/Understanding/pause-stop-hide</x:v>
      </x:c>
    </x:row>
    <x:row r="29" ht="94" customHeight="1">
      <x:c r="A29" s="12" t="str">
        <x:v>A17</x:v>
      </x:c>
      <x:c r="B29" s="12" t="str">
        <x:v>P2</x:v>
      </x:c>
      <x:c r="C29" s="12" t="str">
        <x:v>Bug</x:v>
      </x:c>
      <x:c r="D29" s="12" t="str">
        <x:v>Local</x:v>
      </x:c>
      <x:c r="E29" s="12" t="str">
        <x:v>Marquee lặp văn bản trong accessibility tree</x:v>
      </x:c>
      <x:c r="F29" s="12" t="str">
        <x:v>Screen reader đọc khẩu hiệu nhiều lần.</x:v>
      </x:c>
      <x:c r="G29" s="12" t="str">
        <x:v>Nửa đầu có 4 bản sao, chỉ nửa sau aria-hidden.</x:v>
      </x:c>
      <x:c r="H29" s="12" t="str">
        <x:v>Ẩn phần trang trí khỏi tree. Nếu có thông tin cần đọc, cung cấp một câu tĩnh.</x:v>
      </x:c>
      <x:c r="I29" s="12" t="str">
        <x:v>Screen reader đọc thông tin một lần.</x:v>
      </x:c>
      <x:c r="J29" s="12" t="str">
        <x:v>Trước deploy</x:v>
      </x:c>
      <x:c r="K29" s="12" t="str">
        <x:v>Code xác nhận</x:v>
      </x:c>
      <x:c r="L29" s="12" t="str">
        <x:v>src/components/Marquee.jsx:44-54</x:v>
      </x:c>
    </x:row>
    <x:row r="30" ht="94" customHeight="1">
      <x:c r="A30" s="12" t="str">
        <x:v>A18</x:v>
      </x:c>
      <x:c r="B30" s="12" t="str">
        <x:v>P1</x:v>
      </x:c>
      <x:c r="C30" s="12" t="str">
        <x:v>Bug</x:v>
      </x:c>
      <x:c r="D30" s="12" t="str">
        <x:v>Local</x:v>
      </x:c>
      <x:c r="E30" s="12" t="str">
        <x:v>Một số chữ nhỏ không đạt tương phản</x:v>
      </x:c>
      <x:c r="F30" s="12" t="str">
        <x:v>Giảm khả năng đọc và chất lượng accessibility.</x:v>
      </x:c>
      <x:c r="G30" s="12" t="str">
        <x:v>Đỏ/paper 3,33:1; trắng/đỏ 3,64:1; white/40 trên dark 3,83:1; gray500/dark 3,60:1.</x:v>
      </x:c>
      <x:c r="H30" s="12" t="str">
        <x:v>Tách accent trang trí và màu chữ. Đỏ tối hơn trên paper, xám sáng hơn trên dark, filter selected có màu chữ đủ contrast.</x:v>
      </x:c>
      <x:c r="I30" s="12" t="str">
        <x:v>Normal text ≥4,5:1; large text ≥3:1. Kiểm tra nền thực và hover/focus.</x:v>
      </x:c>
      <x:c r="J30" s="12" t="str">
        <x:v>Trước deploy</x:v>
      </x:c>
      <x:c r="K30" s="12" t="str">
        <x:v>Code xác nhận</x:v>
      </x:c>
      <x:c r="L30" s="12" t="str">
        <x:v>Hero.jsx:113; Work.jsx:140,192; Education.jsx:75</x:v>
      </x:c>
    </x:row>
    <x:row r="31" ht="94" customHeight="1">
      <x:c r="A31" s="12" t="str">
        <x:v>A19</x:v>
      </x:c>
      <x:c r="B31" s="12" t="str">
        <x:v>P2</x:v>
      </x:c>
      <x:c r="C31" s="12" t="str">
        <x:v>Bug</x:v>
      </x:c>
      <x:c r="D31" s="12" t="str">
        <x:v>Local</x:v>
      </x:c>
      <x:c r="E31" s="12" t="str">
        <x:v>Filter không công bố trạng thái chọn</x:v>
      </x:c>
      <x:c r="F31" s="12" t="str">
        <x:v>Screen reader không biết category đang áp dụng.</x:v>
      </x:c>
      <x:c r="G31" s="12" t="str">
        <x:v>Button không có aria-pressed, chỉ đổi màu. Keyboard Enter đã đổi All thành 3 cards.</x:v>
      </x:c>
      <x:c r="H31" s="12" t="str">
        <x:v>Thêm aria-pressed. Dùng label/count ngắn có ngữ cảnh nếu cần thông báo kết quả.</x:v>
      </x:c>
      <x:c r="I31" s="12" t="str">
        <x:v>Keyboard và screen reader nhận đúng selected state và số kết quả.</x:v>
      </x:c>
      <x:c r="J31" s="12" t="str">
        <x:v>Trước deploy</x:v>
      </x:c>
      <x:c r="K31" s="12" t="str">
        <x:v>Đã tái hiện</x:v>
      </x:c>
      <x:c r="L31" s="12" t="str">
        <x:v>src/components/Work.jsx:136-146</x:v>
      </x:c>
    </x:row>
    <x:row r="32" ht="94" customHeight="1">
      <x:c r="A32" s="12" t="str">
        <x:v>A20</x:v>
      </x:c>
      <x:c r="B32" s="12" t="str">
        <x:v>P2</x:v>
      </x:c>
      <x:c r="C32" s="12" t="str">
        <x:v>Bug</x:v>
      </x:c>
      <x:c r="D32" s="12" t="str">
        <x:v>Live + Local</x:v>
      </x:c>
      <x:c r="E32" s="12" t="str">
        <x:v>Hai h1, một h1 là năm trang trí</x:v>
      </x:c>
      <x:c r="F32" s="12" t="str">
        <x:v>Outline không nói rõ tên và chuyên môn của người thiết kế.</x:v>
      </x:c>
      <x:c r="G32" s="12" t="str">
        <x:v>DOM có h1 2026 và PORTFOLIO.</x:v>
      </x:c>
      <x:c r="H32" s="12" t="str">
        <x:v>Một h1 tên + vai trò. Năm trang trí dùng span aria-hidden.</x:v>
      </x:c>
      <x:c r="I32" s="12" t="str">
        <x:v>Heading outline mô tả đúng cá nhân, nội dung phụ theo h2/h3.</x:v>
      </x:c>
      <x:c r="J32" s="12" t="str">
        <x:v>Nội dung chủ lực</x:v>
      </x:c>
      <x:c r="K32" s="12" t="str">
        <x:v>Đã tái hiện</x:v>
      </x:c>
      <x:c r="L32" s="12" t="str">
        <x:v>src/components/Hero.jsx:98-107</x:v>
      </x:c>
    </x:row>
    <x:row r="33" ht="94" customHeight="1">
      <x:c r="A33" s="12" t="str">
        <x:v>A21</x:v>
      </x:c>
      <x:c r="B33" s="12" t="str">
        <x:v>P2</x:v>
      </x:c>
      <x:c r="C33" s="12" t="str">
        <x:v>Pain point</x:v>
      </x:c>
      <x:c r="D33" s="12" t="str">
        <x:v>Local</x:v>
      </x:c>
      <x:c r="E33" s="12" t="str">
        <x:v>Thiếu native anchor và skip link</x:v>
      </x:c>
      <x:c r="F33" s="12" t="str">
        <x:v>Không copy được link section; đường tới main dài hơn cho bàn phím.</x:v>
      </x:c>
      <x:c r="G33" s="12" t="str">
        <x:v>Nav dùng buttons và GSAP. Không skip link. Live hiện có href anchors.</x:v>
      </x:c>
      <x:c r="H33" s="12" t="str">
        <x:v>Dùng anchor #work/#about/#contact và skip link tới main. GSAP chỉ enhancement nếu cần.</x:v>
      </x:c>
      <x:c r="I33" s="12" t="str">
        <x:v>Copy link, back/hash và skip link hoạt động; focus không bị nav che.</x:v>
      </x:c>
      <x:c r="J33" s="12" t="str">
        <x:v>Trước deploy</x:v>
      </x:c>
      <x:c r="K33" s="12" t="str">
        <x:v>Code xác nhận</x:v>
      </x:c>
      <x:c r="L33" s="12" t="str">
        <x:v>src/components/Nav.jsx:57-77</x:v>
      </x:c>
    </x:row>
    <x:row r="34" ht="94" customHeight="1">
      <x:c r="A34" s="12" t="str">
        <x:v>A22</x:v>
      </x:c>
      <x:c r="B34" s="12" t="str">
        <x:v>P2</x:v>
      </x:c>
      <x:c r="C34" s="12" t="str">
        <x:v>Rủi ro</x:v>
      </x:c>
      <x:c r="D34" s="12" t="str">
        <x:v>Local</x:v>
      </x:c>
      <x:c r="E34" s="12" t="str">
        <x:v>Focus có thể nằm sau overlay intro</x:v>
      </x:c>
      <x:c r="F34" s="12" t="str">
        <x:v>Tab có thể tới control không nhìn thấy.</x:v>
      </x:c>
      <x:c r="G34" s="12" t="str">
        <x:v>Overlay không trap focus; nội dung phía sau không inert. Chưa test trong cửa sổ intro.</x:v>
      </x:c>
      <x:c r="H34" s="12" t="str">
        <x:v>Bỏ loader khóa hoặc đặt vùng phía sau inert trong thời gian overlay.</x:v>
      </x:c>
      <x:c r="I34" s="12" t="str">
        <x:v>Reload và Tab ngay: focus luôn nhìn thấy.</x:v>
      </x:c>
      <x:c r="J34" s="12" t="str">
        <x:v>Trước deploy</x:v>
      </x:c>
      <x:c r="K34" s="12" t="str">
        <x:v>Cần kiểm tra thêm</x:v>
      </x:c>
      <x:c r="L34" s="12" t="str">
        <x:v>src/components/Preloader.jsx:82; App.jsx:67-83</x:v>
      </x:c>
    </x:row>
    <x:row r="35" ht="94" customHeight="1">
      <x:c r="A35" s="12" t="str">
        <x:v>A23</x:v>
      </x:c>
      <x:c r="B35" s="12" t="str">
        <x:v>P2</x:v>
      </x:c>
      <x:c r="C35" s="12" t="str">
        <x:v>Rủi ro</x:v>
      </x:c>
      <x:c r="D35" s="12" t="str">
        <x:v>Local</x:v>
      </x:c>
      <x:c r="E35" s="12" t="str">
        <x:v>Cursor hover có thể mất sau filter</x:v>
      </x:c>
      <x:c r="F35" s="12" t="str">
        <x:v>Cards remount nhưng listeners gắn một lần vào DOM ban đầu.</x:v>
      </x:c>
      <x:c r="G35" s="12" t="str">
        <x:v>Cursor.jsx:32-38, Work thay filtered cards.</x:v>
      </x:c>
      <x:c r="H35" s="12" t="str">
        <x:v>Bỏ enhancement nếu không giúp đọc, hoặc dùng delegation trên root.</x:v>
      </x:c>
      <x:c r="I35" s="12" t="str">
        <x:v>Filter mọi category rồi hover: cursor hoạt động nhất quán; pointer coarse dùng native.</x:v>
      </x:c>
      <x:c r="J35" s="12" t="str">
        <x:v>Visual polish</x:v>
      </x:c>
      <x:c r="K35" s="12" t="str">
        <x:v>Cần kiểm tra thêm</x:v>
      </x:c>
      <x:c r="L35" s="12" t="str">
        <x:v>src/components/Cursor.jsx:32-38</x:v>
      </x:c>
    </x:row>
    <x:row r="36" ht="94" customHeight="1">
      <x:c r="A36" s="12" t="str">
        <x:v>A24</x:v>
      </x:c>
      <x:c r="B36" s="12" t="str">
        <x:v>P1</x:v>
      </x:c>
      <x:c r="C36" s="12" t="str">
        <x:v>Pain point</x:v>
      </x:c>
      <x:c r="D36" s="12" t="str">
        <x:v>Live + Local</x:v>
      </x:c>
      <x:c r="E36" s="12" t="str">
        <x:v>Định vị multimedia lấn vai trò UX/UI</x:v>
      </x:c>
      <x:c r="F36" s="12" t="str">
        <x:v>Recruiter product team khó nhận ra ứng viên Junior UX/UI phù hợp.</x:v>
      </x:c>
      <x:c r="G36" s="12" t="str">
        <x:v>Hero ghi Multimedia Executive/Designer. Người dùng xác nhận mục tiêu Junior UX/UI/Product Designer. E01/E05.</x:v>
      </x:c>
      <x:c r="H36" s="12" t="str">
        <x:v>Tên và UX/UI Designer là thông tin chính. Multimedia/motion là năng lực bổ trợ có bằng chứng.</x:v>
      </x:c>
      <x:c r="I36" s="12" t="str">
        <x:v>Trong 5 giây đọc, người xem nói đúng tên, vai trò và lĩnh vực mạnh.</x:v>
      </x:c>
      <x:c r="J36" s="12" t="str">
        <x:v>Nội dung chủ lực</x:v>
      </x:c>
      <x:c r="K36" s="12" t="str">
        <x:v>Đã tái hiện</x:v>
      </x:c>
      <x:c r="L36" s="12" t="str">
        <x:v>https://my-portfolio-2026-seven.vercel.app/</x:v>
      </x:c>
    </x:row>
    <x:row r="37" ht="94" customHeight="1">
      <x:c r="A37" s="12" t="str">
        <x:v>A25</x:v>
      </x:c>
      <x:c r="B37" s="12" t="str">
        <x:v>P1</x:v>
      </x:c>
      <x:c r="C37" s="12" t="str">
        <x:v>Pain point</x:v>
      </x:c>
      <x:c r="D37" s="12" t="str">
        <x:v>Live + Local</x:v>
      </x:c>
      <x:c r="E37" s="12" t="str">
        <x:v>Selected Work xuất hiện sau hồ sơ và học vấn</x:v>
      </x:c>
      <x:c r="F37" s="12" t="str">
        <x:v>Bằng chứng năng lực đến muộn.</x:v>
      </x:c>
      <x:c r="G37" s="12" t="str">
        <x:v>Flow: Hero → About → Education → Work. Không có CTA hero xem case study.</x:v>
      </x:c>
      <x:c r="H37" s="12" t="str">
        <x:v>Hero → Edura nổi bật → dự án UX/UI thứ hai → About/Experience gọn → Contact. Education đưa vào phần ngắn hoặc CV.</x:v>
      </x:c>
      <x:c r="I37" s="12" t="str">
        <x:v>Case study chủ lực tới được bằng một hành động từ hero.</x:v>
      </x:c>
      <x:c r="J37" s="12" t="str">
        <x:v>Nội dung chủ lực</x:v>
      </x:c>
      <x:c r="K37" s="12" t="str">
        <x:v>Đã tái hiện</x:v>
      </x:c>
      <x:c r="L37" s="12" t="str">
        <x:v>src/App.jsx:74-79; Hero.jsx:103-131</x:v>
      </x:c>
    </x:row>
    <x:row r="38" ht="94" customHeight="1">
      <x:c r="A38" s="12" t="str">
        <x:v>A26</x:v>
      </x:c>
      <x:c r="B38" s="12" t="str">
        <x:v>P1</x:v>
      </x:c>
      <x:c r="C38" s="12" t="str">
        <x:v>Pain point</x:v>
      </x:c>
      <x:c r="D38" s="12" t="str">
        <x:v>Live + Local</x:v>
      </x:c>
      <x:c r="E38" s="12" t="str">
        <x:v>Edura chưa nói rõ Lead UI và quyết định cá nhân</x:v>
      </x:c>
      <x:c r="F38" s="12" t="str">
        <x:v>Khó phân biệt đóng góp cá nhân với thành quả của cả nhóm.</x:v>
      </x:c>
      <x:c r="G38" s="12" t="str">
        <x:v>Card có description/tags nhưng không có role, team, timeline, decision. Lead UI do bạn xác nhận.</x:v>
      </x:c>
      <x:c r="H38" s="12" t="str">
        <x:v>Bổ sung summary Lead UI, scope, 3 quyết định, artifact và phản hồi thật. Phân biệt UI lead với ownership UX research.</x:v>
      </x:c>
      <x:c r="I38" s="12" t="str">
        <x:v>Reviewer chỉ ra được bạn làm gì, vì sao, bằng chứng ở đâu.</x:v>
      </x:c>
      <x:c r="J38" s="12" t="str">
        <x:v>Nội dung chủ lực</x:v>
      </x:c>
      <x:c r="K38" s="12" t="str">
        <x:v>Đã tái hiện</x:v>
      </x:c>
      <x:c r="L38" s="12" t="str">
        <x:v>https://www.behance.net/gallery/241524417/Edura-LMS</x:v>
      </x:c>
    </x:row>
    <x:row r="39" ht="94" customHeight="1">
      <x:c r="A39" s="12" t="str">
        <x:v>A27</x:v>
      </x:c>
      <x:c r="B39" s="12" t="str">
        <x:v>P1</x:v>
      </x:c>
      <x:c r="C39" s="12" t="str">
        <x:v>Pain point</x:v>
      </x:c>
      <x:c r="D39" s="12" t="str">
        <x:v>Live + Local</x:v>
      </x:c>
      <x:c r="E39" s="12" t="str">
        <x:v>Claim Excellent/business value thiếu nguồn trên trang</x:v>
      </x:c>
      <x:c r="F39" s="12" t="str">
        <x:v>Khó đánh giá độ tin cậy. Không kết luận claim sai.</x:v>
      </x:c>
      <x:c r="G39" s="12" t="str">
        <x:v>Card ghi Excellent for UX innovation; About ghi tangible business value nhưng không dẫn chứng.</x:v>
      </x:c>
      <x:c r="H39" s="12" t="str">
        <x:v>Gắn rubric/feedback có nguồn. Nếu là bài học hoặc đánh giá lớp, nêu đúng bối cảnh. Chỉ dùng metric có thật.</x:v>
      </x:c>
      <x:c r="I39" s="12" t="str">
        <x:v>Mọi claim kết quả có nguồn, phạm vi, ngày hoặc phương pháp.</x:v>
      </x:c>
      <x:c r="J39" s="12" t="str">
        <x:v>Nội dung chủ lực</x:v>
      </x:c>
      <x:c r="K39" s="12" t="str">
        <x:v>Code xác nhận</x:v>
      </x:c>
      <x:c r="L39" s="12" t="str">
        <x:v>src/data.js:27; About.jsx:128</x:v>
      </x:c>
    </x:row>
    <x:row r="40" ht="94" customHeight="1">
      <x:c r="A40" s="12" t="str">
        <x:v>A28</x:v>
      </x:c>
      <x:c r="B40" s="12" t="str">
        <x:v>P1</x:v>
      </x:c>
      <x:c r="C40" s="12" t="str">
        <x:v>Pain point</x:v>
      </x:c>
      <x:c r="D40" s="12" t="str">
        <x:v>Live + Local</x:v>
      </x:c>
      <x:c r="E40" s="12" t="str">
        <x:v>VERIS copy không khớp ảnh sản phẩm</x:v>
      </x:c>
      <x:c r="F40" s="12" t="str">
        <x:v>Mô tả social feed trong khi cover nói trải nghiệm/chữa lành cảm xúc.</x:v>
      </x:c>
      <x:c r="G40" s="12" t="str">
        <x:v>Asset cover có viết trải nghiệm và trò chuyện nhân vật. E06. Copy ghi social network/feed algorithm.</x:v>
      </x:c>
      <x:c r="H40" s="12" t="str">
        <x:v>Đọc brief gốc và viết đúng vấn đề, audience, phạm vi. Đổi category nếu cần.</x:v>
      </x:c>
      <x:c r="I40" s="12" t="str">
        <x:v>Copy, UI screens và case study kể cùng một sản phẩm.</x:v>
      </x:c>
      <x:c r="J40" s="12" t="str">
        <x:v>Nội dung chủ lực</x:v>
      </x:c>
      <x:c r="K40" s="12" t="str">
        <x:v>Đã tái hiện</x:v>
      </x:c>
      <x:c r="L40" s="12" t="str">
        <x:v>src/data.js:38; public/project2.jpg</x:v>
      </x:c>
    </x:row>
    <x:row r="41" ht="94" customHeight="1">
      <x:c r="A41" s="12" t="str">
        <x:v>A29</x:v>
      </x:c>
      <x:c r="B41" s="12" t="str">
        <x:v>P2</x:v>
      </x:c>
      <x:c r="C41" s="12" t="str">
        <x:v>Pain point</x:v>
      </x:c>
      <x:c r="D41" s="12" t="str">
        <x:v>Live + Local</x:v>
      </x:c>
      <x:c r="E41" s="12" t="str">
        <x:v>Covers chưa chứng minh chất lượng UI</x:v>
      </x:c>
      <x:c r="F41" s="12" t="str">
        <x:v>Edura là lớp học/logo, VIE chủ yếu lifestyle; recruiter chưa thấy interface hoặc system.</x:v>
      </x:c>
      <x:c r="G41" s="12" t="str">
        <x:v>E08 và covers public/project1.jpg, project3.jpg.</x:v>
      </x:c>
      <x:c r="H41" s="12" t="str">
        <x:v>Hero Edura dùng UI screens thật. VIE dùng application/brand system thật; giữ ảnh lifestyle làm phụ.</x:v>
      </x:c>
      <x:c r="I41" s="12" t="str">
        <x:v>Nhìn thumbnail nhận ra loại sản phẩm và năng lực thiết kế.</x:v>
      </x:c>
      <x:c r="J41" s="12" t="str">
        <x:v>Visual polish</x:v>
      </x:c>
      <x:c r="K41" s="12" t="str">
        <x:v>Đã tái hiện</x:v>
      </x:c>
      <x:c r="L41" s="12" t="str">
        <x:v>https://www.behance.net/gallery/241524417/Edura-LMS</x:v>
      </x:c>
    </x:row>
    <x:row r="42" ht="94" customHeight="1">
      <x:c r="A42" s="12" t="str">
        <x:v>A30</x:v>
      </x:c>
      <x:c r="B42" s="12" t="str">
        <x:v>P2</x:v>
      </x:c>
      <x:c r="C42" s="12" t="str">
        <x:v>Pain point</x:v>
      </x:c>
      <x:c r="D42" s="12" t="str">
        <x:v>Live + Local</x:v>
      </x:c>
      <x:c r="E42" s="12" t="str">
        <x:v>Lỗi tiếng Anh trong cover VERIS</x:v>
      </x:c>
      <x:c r="F42" s="12" t="str">
        <x:v>Giảm cảm giác polished ngay trên mockup UI.</x:v>
      </x:c>
      <x:c r="G42" s="12" t="str">
        <x:v>Cover ghi Let’s you in. E06.</x:v>
      </x:c>
      <x:c r="H42" s="12" t="str">
        <x:v>Sửa thiết kế gốc thành Welcome back hoặc Let’s get you in theo flow; export lại.</x:v>
      </x:c>
      <x:c r="I42" s="12" t="str">
        <x:v>Proofread tất cả UI text trong image và case study.</x:v>
      </x:c>
      <x:c r="J42" s="12" t="str">
        <x:v>Nội dung chủ lực</x:v>
      </x:c>
      <x:c r="K42" s="12" t="str">
        <x:v>Đã tái hiện</x:v>
      </x:c>
      <x:c r="L42" s="12" t="str">
        <x:v>public/project2.jpg</x:v>
      </x:c>
    </x:row>
    <x:row r="43" ht="94" customHeight="1">
      <x:c r="A43" s="12" t="str">
        <x:v>A31</x:v>
      </x:c>
      <x:c r="B43" s="12" t="str">
        <x:v>P2</x:v>
      </x:c>
      <x:c r="C43" s="12" t="str">
        <x:v>Pain point</x:v>
      </x:c>
      <x:c r="D43" s="12" t="str">
        <x:v>Live + Local</x:v>
      </x:c>
      <x:c r="E43" s="12" t="str">
        <x:v>Portrait glow không đồng nhất visual language</x:v>
      </x:c>
      <x:c r="F43" s="12" t="str">
        <x:v>Ảnh cá nhân có mood khác paper/black/red và UI cases.</x:v>
      </x:c>
      <x:c r="G43" s="12" t="str">
        <x:v>E02: glow lớn và cutout; local hover đổi từ grayscale sang màu.</x:v>
      </x:c>
      <x:c r="H43" s="12" t="str">
        <x:v>Dùng portrait ánh sáng sạch, crop tự nhiên, bỏ glow mạnh. Giữ một xử lý màu nhất quán.</x:v>
      </x:c>
      <x:c r="I43" s="12" t="str">
        <x:v>Ảnh hỗ trợ nhận diện cá nhân, không cạnh tranh với UI.</x:v>
      </x:c>
      <x:c r="J43" s="12" t="str">
        <x:v>Visual polish</x:v>
      </x:c>
      <x:c r="K43" s="12" t="str">
        <x:v>Đã tái hiện</x:v>
      </x:c>
      <x:c r="L43" s="12" t="str">
        <x:v>public/avatar.png; About.jsx:111</x:v>
      </x:c>
    </x:row>
    <x:row r="44" ht="94" customHeight="1">
      <x:c r="A44" s="12" t="str">
        <x:v>A32</x:v>
      </x:c>
      <x:c r="B44" s="12" t="str">
        <x:v>P2</x:v>
      </x:c>
      <x:c r="C44" s="12" t="str">
        <x:v>Pain point</x:v>
      </x:c>
      <x:c r="D44" s="12" t="str">
        <x:v>Live + Local</x:v>
      </x:c>
      <x:c r="E44" s="12" t="str">
        <x:v>Experience không ưu tiên UX/UI gần đây</x:v>
      </x:c>
      <x:c r="F44" s="12" t="str">
        <x:v>Internship Designveloper bị đọc sau multimedia cũ.</x:v>
      </x:c>
      <x:c r="G44" s="12" t="str">
        <x:v>Thứ tự HOSANA → UPWORK → DESIGNVELOPER, dù internship Sep-Dec 2025.</x:v>
      </x:c>
      <x:c r="H44" s="12" t="str">
        <x:v>Mới nhất lên đầu. Mỗi role có scope, deliverable, collaboration thật. Rút history thành list đọc nhanh.</x:v>
      </x:c>
      <x:c r="I44" s="12" t="str">
        <x:v>Reviewer tìm thấy UX/UI experience mà không phải đọc hết history.</x:v>
      </x:c>
      <x:c r="J44" s="12" t="str">
        <x:v>Nội dung chủ lực</x:v>
      </x:c>
      <x:c r="K44" s="12" t="str">
        <x:v>Code xác nhận</x:v>
      </x:c>
      <x:c r="L44" s="12" t="str">
        <x:v>src/data.js:63-87; About.jsx:166-173</x:v>
      </x:c>
    </x:row>
    <x:row r="45" ht="94" customHeight="1">
      <x:c r="A45" s="12" t="str">
        <x:v>A33</x:v>
      </x:c>
      <x:c r="B45" s="12" t="str">
        <x:v>P2</x:v>
      </x:c>
      <x:c r="C45" s="12" t="str">
        <x:v>Pain point</x:v>
      </x:c>
      <x:c r="D45" s="12" t="str">
        <x:v>Live + Local</x:v>
      </x:c>
      <x:c r="E45" s="12" t="str">
        <x:v>Soft skills và software chiếm nhiều diện tích</x:v>
      </x:c>
      <x:c r="F45" s="12" t="str">
        <x:v>Thông tin ít phân biệt ứng viên trong khi case study chưa sâu.</x:v>
      </x:c>
      <x:c r="G45" s="12" t="str">
        <x:v>Nhiều badges: time management/teamwork/adaptability; icon software prominent.</x:v>
      </x:c>
      <x:c r="H45" s="12" t="str">
        <x:v>Rút còn năng lực gắn artifact: interaction, UI system, prototyping, handoff. Tool list đưa xuống phụ.</x:v>
      </x:c>
      <x:c r="I45" s="12" t="str">
        <x:v>Mỗi năng lực chính trỏ tới một ví dụ cụ thể.</x:v>
      </x:c>
      <x:c r="J45" s="12" t="str">
        <x:v>Nội dung chủ lực</x:v>
      </x:c>
      <x:c r="K45" s="12" t="str">
        <x:v>Đã tái hiện</x:v>
      </x:c>
      <x:c r="L45" s="12" t="str">
        <x:v>src/data.js:53-61; About.jsx:132-159</x:v>
      </x:c>
    </x:row>
    <x:row r="46" ht="94" customHeight="1">
      <x:c r="A46" s="12" t="str">
        <x:v>A34</x:v>
      </x:c>
      <x:c r="B46" s="12" t="str">
        <x:v>P1</x:v>
      </x:c>
      <x:c r="C46" s="12" t="str">
        <x:v>Pain point</x:v>
      </x:c>
      <x:c r="D46" s="12" t="str">
        <x:v>Live + Local</x:v>
      </x:c>
      <x:c r="E46" s="12" t="str">
        <x:v>Thiếu CV tải về và đường tới hồ sơ tuyển dụng</x:v>
      </x:c>
      <x:c r="F46" s="12" t="str">
        <x:v>Recruiter không có gói thông tin ngắn để chuyển tiếp.</x:v>
      </x:c>
      <x:c r="G46" s="12" t="str">
        <x:v>Không tìm thấy PDF CV/link CV trong DOM, src hoặc public. LinkedIn placeholder.</x:v>
      </x:c>
      <x:c r="H46" s="12" t="str">
        <x:v>Thêm PDF CV cập nhật, LinkedIn thật và email rõ. Ghi availability/location đúng thực tế.</x:v>
      </x:c>
      <x:c r="I46" s="12" t="str">
        <x:v>CV tải được trên mobile, có ngày cập nhật; contact không cần form/backend.</x:v>
      </x:c>
      <x:c r="J46" s="12" t="str">
        <x:v>Nội dung chủ lực</x:v>
      </x:c>
      <x:c r="K46" s="12" t="str">
        <x:v>Code xác nhận</x:v>
      </x:c>
      <x:c r="L46" s="12" t="str">
        <x:v>src/components/Nav.jsx; Footer.jsx; public/</x:v>
      </x:c>
    </x:row>
    <x:row r="47" ht="94" customHeight="1">
      <x:c r="A47" s="12" t="str">
        <x:v>A35</x:v>
      </x:c>
      <x:c r="B47" s="12" t="str">
        <x:v>P2</x:v>
      </x:c>
      <x:c r="C47" s="12" t="str">
        <x:v>Pain point</x:v>
      </x:c>
      <x:c r="D47" s="12" t="str">
        <x:v>Live + Local</x:v>
      </x:c>
      <x:c r="E47" s="12" t="str">
        <x:v>Metadata và favicon còn Vite template</x:v>
      </x:c>
      <x:c r="F47" s="12" t="str">
        <x:v>Tab/search/share không thể hiện danh tính chuyên nghiệp.</x:v>
      </x:c>
      <x:c r="G47" s="12" t="str">
        <x:v>HTTP HTML: title=my-portfolio, favicon=/vite.svg, không description/OG/canonical.</x:v>
      </x:c>
      <x:c r="H47" s="12" t="str">
        <x:v>Title theo tên + UX/UI Designer. Description, OG image từ work thật, favicon cá nhân. Canonical theo domain xác nhận.</x:v>
      </x:c>
      <x:c r="I47" s="12" t="str">
        <x:v>View source và social preview thể hiện đúng cá nhân, ảnh và URL.</x:v>
      </x:c>
      <x:c r="J47" s="12" t="str">
        <x:v>Trước deploy</x:v>
      </x:c>
      <x:c r="K47" s="12" t="str">
        <x:v>Đã tái hiện</x:v>
      </x:c>
      <x:c r="L47" s="12" t="str">
        <x:v>index.html:5-8</x:v>
      </x:c>
    </x:row>
    <x:row r="48" ht="94" customHeight="1">
      <x:c r="A48" s="12" t="str">
        <x:v>A36</x:v>
      </x:c>
      <x:c r="B48" s="12" t="str">
        <x:v>P2</x:v>
      </x:c>
      <x:c r="C48" s="12" t="str">
        <x:v>Rủi ro</x:v>
      </x:c>
      <x:c r="D48" s="12" t="str">
        <x:v>Deploy</x:v>
      </x:c>
      <x:c r="E48" s="12" t="str">
        <x:v>Node/build/output chưa được ghi rõ</x:v>
      </x:c>
      <x:c r="F48" s="12" t="str">
        <x:v>Nguy cơ cấu hình môi trường khác local; chưa có failure production do Node.</x:v>
      </x:c>
      <x:c r="G48" s="12" t="str">
        <x:v>Local Node 24.12.0, Vite installed 7.3.0. Không engines/.nvmrc; README vẫn template.</x:v>
      </x:c>
      <x:c r="H48" s="12" t="str">
        <x:v>Ghi Node tương thích, build=npm run build, output=dist và env nếu có. Không dùng vite preview làm production server.</x:v>
      </x:c>
      <x:c r="I48" s="12" t="str">
        <x:v>Clean checkout npm ci + build trên môi trường CI tương thích thành công.</x:v>
      </x:c>
      <x:c r="J48" s="12" t="str">
        <x:v>Trước deploy</x:v>
      </x:c>
      <x:c r="K48" s="12" t="str">
        <x:v>Cần kiểm tra thêm</x:v>
      </x:c>
      <x:c r="L48" s="12" t="str">
        <x:v>package.json; README.md; https://vite.dev/guide/static-deploy.html</x:v>
      </x:c>
    </x:row>
    <x:row r="49" ht="94" customHeight="1">
      <x:c r="A49" s="12" t="str">
        <x:v>A37</x:v>
      </x:c>
      <x:c r="B49" s="12" t="str">
        <x:v>P2</x:v>
      </x:c>
      <x:c r="C49" s="12" t="str">
        <x:v>Pain point</x:v>
      </x:c>
      <x:c r="D49" s="12" t="str">
        <x:v>Live + Local</x:v>
      </x:c>
      <x:c r="E49" s="12" t="str">
        <x:v>Bản public và working tree khác nhau</x:v>
      </x:c>
      <x:c r="F49" s="12" t="str">
        <x:v>Kết quả test dễ bị hiểu nhầm giữa bản đang online và bản chưa commit.</x:v>
      </x:c>
      <x:c r="G49" s="12" t="str">
        <x:v>Live JS index-D264NIrm; local index-Ca5rCiJk. Local có Journey/filter/pin ngang, live không có.</x:v>
      </x:c>
      <x:c r="H49" s="12" t="str">
        <x:v>Chốt revision được deploy. Test preview cùng commit trước production. Lưu smoke checklist, không thêm hệ thống release riêng.</x:v>
      </x:c>
      <x:c r="I49" s="12" t="str">
        <x:v>Bản preview và production trỏ đúng revision đã kiểm.</x:v>
      </x:c>
      <x:c r="J49" s="12" t="str">
        <x:v>Trước deploy</x:v>
      </x:c>
      <x:c r="K49" s="12" t="str">
        <x:v>Đã tái hiện</x:v>
      </x:c>
      <x:c r="L49" s="12" t="str">
        <x:v>https://my-portfolio-2026-seven.vercel.app/</x:v>
      </x:c>
    </x:row>
    <x:row r="50" ht="94" customHeight="1">
      <x:c r="A50" s="12" t="str">
        <x:v>A38</x:v>
      </x:c>
      <x:c r="B50" s="12" t="str">
        <x:v>P2</x:v>
      </x:c>
      <x:c r="C50" s="12" t="str">
        <x:v>Pain point</x:v>
      </x:c>
      <x:c r="D50" s="12" t="str">
        <x:v>Live</x:v>
      </x:c>
      <x:c r="E50" s="12" t="str">
        <x:v>Archive Loading là nội dung treo</x:v>
      </x:c>
      <x:c r="F50" s="12" t="str">
        <x:v>Tạo cảm giác website còn dang dở.</x:v>
      </x:c>
      <x:c r="G50" s="12" t="str">
        <x:v>DOM Work có Archive Loading...; không thấy luồng archive.</x:v>
      </x:c>
      <x:c r="H50" s="12" t="str">
        <x:v>Bỏ archive placeholder. Chỉ thêm khi đã có nội dung và hành động thật.</x:v>
      </x:c>
      <x:c r="I50" s="12" t="str">
        <x:v>Không có loading placeholder vĩnh viễn.</x:v>
      </x:c>
      <x:c r="J50" s="12" t="str">
        <x:v>Nội dung chủ lực</x:v>
      </x:c>
      <x:c r="K50" s="12" t="str">
        <x:v>Đã tái hiện</x:v>
      </x:c>
      <x:c r="L50" s="12" t="str">
        <x:v>https://my-portfolio-2026-seven.vercel.app/</x:v>
      </x:c>
    </x:row>
    <x:row r="51" ht="94" customHeight="1">
      <x:c r="A51" s="12" t="str">
        <x:v>A39</x:v>
      </x:c>
      <x:c r="B51" s="12" t="str">
        <x:v>P2</x:v>
      </x:c>
      <x:c r="C51" s="12" t="str">
        <x:v>Pain point</x:v>
      </x:c>
      <x:c r="D51" s="12" t="str">
        <x:v>Edura Behance</x:v>
      </x:c>
      <x:c r="E51" s="12" t="str">
        <x:v>Case study dài và phần lớn ở dạng ảnh</x:v>
      </x:c>
      <x:c r="F51" s="12" t="str">
        <x:v>Cần bản đọc nhanh cho recruiter, nội dung ảnh khó tìm kiếm và đọc bằng assistive tech.</x:v>
      </x:c>
      <x:c r="G51" s="12" t="str">
        <x:v>DOM có Project Module 0-118, height khoảng 90.856 px ở viewport desktop; chỉ skim phần mở đầu.</x:v>
      </x:c>
      <x:c r="H51" s="12" t="str">
        <x:v>Tạo bản tóm tắt trên portfolio: problem/Lead UI/3 decisions/evidence/reflection. Link Behance để xem đầy đủ.</x:v>
      </x:c>
      <x:c r="I51" s="12" t="str">
        <x:v>Reviewer đọc summary trong 1-2 phút rồi chọn xem sâu. Không sao chép toàn bộ 119 modules.</x:v>
      </x:c>
      <x:c r="J51" s="12" t="str">
        <x:v>Nội dung chủ lực</x:v>
      </x:c>
      <x:c r="K51" s="12" t="str">
        <x:v>Đã tái hiện</x:v>
      </x:c>
      <x:c r="L51" s="12" t="str">
        <x:v>https://www.behance.net/gallery/241524417/Edura-LMS</x:v>
      </x:c>
    </x:row>
    <x:row r="52" ht="94" customHeight="1">
      <x:c r="A52" s="12" t="str">
        <x:v>A40</x:v>
      </x:c>
      <x:c r="B52" s="12" t="str">
        <x:v>P3</x:v>
      </x:c>
      <x:c r="C52" s="12" t="str">
        <x:v>Pain point</x:v>
      </x:c>
      <x:c r="D52" s="12" t="str">
        <x:v>Local</x:v>
      </x:c>
      <x:c r="E52" s="12" t="str">
        <x:v>Footer ưu tiên framework hơn ứng viên</x:v>
      </x:c>
      <x:c r="F52" s="12" t="str">
        <x:v>Built with GSAP 3.15 không giúp tuyển dụng UX/UI đánh giá năng lực.</x:v>
      </x:c>
      <x:c r="G52" s="12" t="str">
        <x:v>Footer có framework version.</x:v>
      </x:c>
      <x:c r="H52" s="12" t="str">
        <x:v>Bỏ version hoặc thay availability/location cập nhật.</x:v>
      </x:c>
      <x:c r="I52" s="12" t="str">
        <x:v>Footer chỉ còn contact và thông tin nghề nghiệp hữu ích.</x:v>
      </x:c>
      <x:c r="J52" s="12" t="str">
        <x:v>Visual polish</x:v>
      </x:c>
      <x:c r="K52" s="12" t="str">
        <x:v>Code xác nhận</x:v>
      </x:c>
      <x:c r="L52" s="12" t="str">
        <x:v>src/components/Footer.jsx:123</x:v>
      </x:c>
    </x:row>
    <x:row r="53" ht="94" customHeight="1">
      <x:c r="A53" s="12" t="str">
        <x:v>A41</x:v>
      </x:c>
      <x:c r="B53" s="12" t="str">
        <x:v>P2</x:v>
      </x:c>
      <x:c r="C53" s="12" t="str">
        <x:v>Rủi ro</x:v>
      </x:c>
      <x:c r="D53" s="12" t="str">
        <x:v>Live + Local</x:v>
      </x:c>
      <x:c r="E53" s="12" t="str">
        <x:v>Chưa có số liệu performance thực tế</x:v>
      </x:c>
      <x:c r="F53" s="12" t="str">
        <x:v>Không thể khẳng định điểm Lighthouse hoặc Core Web Vitals từ kích thước bundle.</x:v>
      </x:c>
      <x:c r="G53" s="12" t="str">
        <x:v>Build JS 401,63 KB, gzip 138,59 KB; chưa chạy Lighthouse/throttled profile/field data.</x:v>
      </x:c>
      <x:c r="H53" s="12" t="str">
        <x:v>Đo lab mobile trước/sau; LCP/INP/CLS dùng field data khi có. Không thêm analytics chỉ để trang trí dashboard.</x:v>
      </x:c>
      <x:c r="I53" s="12" t="str">
        <x:v>Báo cáo có thiết bị, mạng, run và metric. Mục tiêu LCP ≤2,5 s, INP ≤200 ms, CLS ≤0,1.</x:v>
      </x:c>
      <x:c r="J53" s="12" t="str">
        <x:v>Trước deploy</x:v>
      </x:c>
      <x:c r="K53" s="12" t="str">
        <x:v>Cần kiểm tra thêm</x:v>
      </x:c>
      <x:c r="L53" s="12" t="str">
        <x:v>https://web.dev/articles/vitals</x:v>
      </x:c>
    </x:row>
    <x:row r="54" ht="94" customHeight="1">
      <x:c r="A54" s="12" t="str">
        <x:v>A42</x:v>
      </x:c>
      <x:c r="B54" s="12" t="str">
        <x:v>P2</x:v>
      </x:c>
      <x:c r="C54" s="12" t="str">
        <x:v>Rủi ro</x:v>
      </x:c>
      <x:c r="D54" s="12" t="str">
        <x:v>Local</x:v>
      </x:c>
      <x:c r="E54" s="12" t="str">
        <x:v>Keyboard trong gallery ngang chưa kiểm đủ</x:v>
      </x:c>
      <x:c r="F54" s="12" t="str">
        <x:v>Link ngoài viewport có thể nhận focus khi pin/transform. Hiện VERIS/VIE chưa có link thật.</x:v>
      </x:c>
      <x:c r="G54" s="12" t="str">
        <x:v>Work pin track bằng transform ở ≥768 px. Chưa thể kiểm đủ focus mọi case.</x:v>
      </x:c>
      <x:c r="H54" s="12" t="str">
        <x:v>Ưu tiên grid hoặc đảm bảo focus đưa card vào vùng nhìn; không ép người dùng wheel để mở case.</x:v>
      </x:c>
      <x:c r="I54" s="12" t="str">
        <x:v>Tab qua mọi case sau khi bổ sung URL. Focus nhìn thấy ở 768/1024/1440 và reduced motion.</x:v>
      </x:c>
      <x:c r="J54" s="12" t="str">
        <x:v>Trước deploy</x:v>
      </x:c>
      <x:c r="K54" s="12" t="str">
        <x:v>Cần kiểm tra thêm</x:v>
      </x:c>
      <x:c r="L54" s="12" t="str">
        <x:v>src/components/Work.jsx:53-81</x:v>
      </x:c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</x:sheetData>
  <x:conditionalFormatting sqref="B13:B54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32f4b56150ec446b"/>
  </x:tableParts>
</x:worksheet>
</file>

<file path=xl/worksheets/sheet2.xml><?xml version="1.0" encoding="utf-8"?>
<x:worksheet xmlns:x="http://schemas.openxmlformats.org/spreadsheetml/2006/main">
  <x:sheetPr>
    <x:tabColor rgb="FFA83232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9" hidden="0" customWidth="1"/>
    <x:col min="3" max="3" width="33" hidden="0" customWidth="1"/>
    <x:col min="4" max="4" width="58" hidden="0" customWidth="1"/>
    <x:col min="5" max="5" width="40" hidden="0" customWidth="1"/>
    <x:col min="6" max="6" width="50" hidden="0" customWidth="1"/>
    <x:col min="7" max="7" width="52" hidden="0" customWidth="1"/>
    <x:col min="8" max="8" width="42" hidden="0" customWidth="1"/>
    <x:col min="9" max="9" width="25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3" t="str">
        <x:v>Ý tưởng cho portfolio cinematic hướng product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 t="str">
        <x:v>Thiết kế: cinematic product portfolio. Variance 8/10, motion 5/10, density 3/10 là mức đề xuất.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Giữ React/Vite, Tailwind v3, GSAP và Lucide hiện có. Chưa có lý do thêm framework, CMS hoặc animation library.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17" t="str">
        <x:v>ID</x:v>
      </x:c>
      <x:c r="B7" s="18" t="str">
        <x:v>Ưu tiên</x:v>
      </x:c>
      <x:c r="C7" s="18" t="str">
        <x:v>Ý tưởng</x:v>
      </x:c>
      <x:c r="D7" s="18" t="str">
        <x:v>Thực hiện cụ thể</x:v>
      </x:c>
      <x:c r="E7" s="18" t="str">
        <x:v>Giá trị</x:v>
      </x:c>
      <x:c r="F7" s="18" t="str">
        <x:v>Cách làm tối thiểu</x:v>
      </x:c>
      <x:c r="G7" s="18" t="str">
        <x:v>Giới hạn / điều kiện</x:v>
      </x:c>
      <x:c r="H7" s="18" t="str">
        <x:v>Skill tham khảo</x:v>
      </x:c>
      <x:c r="I7" s="18" t="str">
        <x:v>Giai đoạn</x:v>
      </x:c>
      <x:c r="J7" s="19" t="str">
        <x:v>Trạng thái</x:v>
      </x:c>
    </x:row>
    <x:row r="8" ht="94" customHeight="1">
      <x:c r="A8" s="12" t="str">
        <x:v>I01</x:v>
      </x:c>
      <x:c r="B8" s="12" t="str">
        <x:v>P1</x:v>
      </x:c>
      <x:c r="C8" s="12" t="str">
        <x:v>Cinematic product portfolio</x:v>
      </x:c>
      <x:c r="D8" s="12" t="str">
        <x:v>Tên và UX/UI Designer rõ. Một UI composition Edura lớn. CTA View Edura và Download CV.</x:v>
      </x:c>
      <x:c r="E8" s="12" t="str">
        <x:v>Chuyển ấn tượng đầu thành bằng chứng năng lực.</x:v>
      </x:c>
      <x:c r="F8" s="12" t="str">
        <x:v>Ảnh thật từ Figma/Behance, native CSS + GSAP timeline ngắn.</x:v>
      </x:c>
      <x:c r="G8" s="12" t="str">
        <x:v>Không autoplay nền nặng, không preloader bắt chờ. Mobile hiển thị cùng thông tin.</x:v>
      </x:c>
      <x:c r="H8" s="12" t="str">
        <x:v>design-taste-frontend, gpt-taste, ponytail</x:v>
      </x:c>
      <x:c r="I8" s="12" t="str">
        <x:v>Nội dung chủ lực</x:v>
      </x:c>
      <x:c r="J8" s="12" t="str">
        <x:v>Đề xuất</x:v>
      </x:c>
    </x:row>
    <x:row r="9" ht="94" customHeight="1">
      <x:c r="A9" s="12" t="str">
        <x:v>I02</x:v>
      </x:c>
      <x:c r="B9" s="12" t="str">
        <x:v>P1</x:v>
      </x:c>
      <x:c r="C9" s="12" t="str">
        <x:v>Edura làm chương mở đầu</x:v>
      </x:c>
      <x:c r="D9" s="12" t="str">
        <x:v>Case summary: app quản lý tiến độ học tập tại trung tâm, vai trò Lead UI, phạm vi và bài học.</x:v>
      </x:c>
      <x:c r="E9" s="12" t="str">
        <x:v>Bám mục tiêu Junior trong product team.</x:v>
      </x:c>
      <x:c r="F9" s="12" t="str">
        <x:v>Tái sử dụng artifacts Edura. 3 quyết định UI có ảnh và lý do.</x:v>
      </x:c>
      <x:c r="G9" s="12" t="str">
        <x:v>Không tự nhận ownership UX research nếu nhóm khác làm.</x:v>
      </x:c>
      <x:c r="H9" s="12" t="str">
        <x:v>product-design:research, redesign-existing-projects</x:v>
      </x:c>
      <x:c r="I9" s="12" t="str">
        <x:v>Nội dung chủ lực</x:v>
      </x:c>
      <x:c r="J9" s="12" t="str">
        <x:v>Đề xuất</x:v>
      </x:c>
    </x:row>
    <x:row r="10" ht="94" customHeight="1">
      <x:c r="A10" s="12" t="str">
        <x:v>I03</x:v>
      </x:c>
      <x:c r="B10" s="12" t="str">
        <x:v>P1</x:v>
      </x:c>
      <x:c r="C10" s="12" t="str">
        <x:v>Hai mức đọc case study</x:v>
      </x:c>
      <x:c r="D10" s="12" t="str">
        <x:v>Summary đọc nhanh rồi link tới Behance đầy đủ.</x:v>
      </x:c>
      <x:c r="E10" s="12" t="str">
        <x:v>Recruiter có thể skim và hiring manager có thể đào sâu.</x:v>
      </x:c>
      <x:c r="F10" s="12" t="str">
        <x:v>Nội dung HTML semantic. Link native.</x:v>
      </x:c>
      <x:c r="G10" s="12" t="str">
        <x:v>Không nhúng toàn bộ gallery Behance dài vào trang chủ.</x:v>
      </x:c>
      <x:c r="H10" s="12" t="str">
        <x:v>ui-ux-pro-max, ponytail</x:v>
      </x:c>
      <x:c r="I10" s="12" t="str">
        <x:v>Nội dung chủ lực</x:v>
      </x:c>
      <x:c r="J10" s="12" t="str">
        <x:v>Đề xuất</x:v>
      </x:c>
    </x:row>
    <x:row r="11" ht="94" customHeight="1">
      <x:c r="A11" s="12" t="str">
        <x:v>I04</x:v>
      </x:c>
      <x:c r="B11" s="12" t="str">
        <x:v>P1</x:v>
      </x:c>
      <x:c r="C11" s="12" t="str">
        <x:v>Decision → artifact → feedback</x:v>
      </x:c>
      <x:c r="D11" s="12" t="str">
        <x:v>Mỗi quyết định: vấn đề, giải pháp, bằng chứng Figma, phản hồi thật và thay đổi sau đó.</x:v>
      </x:c>
      <x:c r="E11" s="12" t="str">
        <x:v>Chứng minh tư duy, không chỉ final screens.</x:v>
      </x:c>
      <x:c r="F11" s="12" t="str">
        <x:v>Ba block nội dung trực tiếp; không cần CMS.</x:v>
      </x:c>
      <x:c r="G11" s="12" t="str">
        <x:v>Nếu không có metric, dùng bằng chứng định tính có nguồn.</x:v>
      </x:c>
      <x:c r="H11" s="12" t="str">
        <x:v>product-design:research, design-taste-frontend</x:v>
      </x:c>
      <x:c r="I11" s="12" t="str">
        <x:v>Nội dung chủ lực</x:v>
      </x:c>
      <x:c r="J11" s="12" t="str">
        <x:v>Đề xuất</x:v>
      </x:c>
    </x:row>
    <x:row r="12" ht="94" customHeight="1">
      <x:c r="A12" s="12" t="str">
        <x:v>I05</x:v>
      </x:c>
      <x:c r="B12" s="12" t="str">
        <x:v>P1</x:v>
      </x:c>
      <x:c r="C12" s="12" t="str">
        <x:v>Hình Edura cho thấy UI thật</x:v>
      </x:c>
      <x:c r="D12" s="12" t="str">
        <x:v>Một màn hình overview và một flow trọng tâm, crop đủ đọc; cover lớp học làm phụ.</x:v>
      </x:c>
      <x:c r="E12" s="12" t="str">
        <x:v>Nhận ra năng lực UI ngay trên thumbnail.</x:v>
      </x:c>
      <x:c r="F12" s="12" t="str">
        <x:v>Export AVIF/WebP đúng slot từ design gốc.</x:v>
      </x:c>
      <x:c r="G12" s="12" t="str">
        <x:v>Không dùng stock hoặc ảnh AI để giả sản phẩm đã thiết kế.</x:v>
      </x:c>
      <x:c r="H12" s="12" t="str">
        <x:v>redesign-existing-projects, gpt-taste</x:v>
      </x:c>
      <x:c r="I12" s="12" t="str">
        <x:v>Visual polish</x:v>
      </x:c>
      <x:c r="J12" s="12" t="str">
        <x:v>Đề xuất</x:v>
      </x:c>
    </x:row>
    <x:row r="13" ht="94" customHeight="1">
      <x:c r="A13" s="12" t="str">
        <x:v>I06</x:v>
      </x:c>
      <x:c r="B13" s="12" t="str">
        <x:v>P2</x:v>
      </x:c>
      <x:c r="C13" s="12" t="str">
        <x:v>Flow spotlight tương tác</x:v>
      </x:c>
      <x:c r="D13" s="12" t="str">
        <x:v>Chọn 1 flow Edura: đầu vào → màn hình quyết định → trạng thái hoàn thành.</x:v>
      </x:c>
      <x:c r="E13" s="12" t="str">
        <x:v>Cho thấy interaction và state reasoning.</x:v>
      </x:c>
      <x:c r="F13" s="12" t="str">
        <x:v>Tabs/buttons native cho 3 bước; GSAP crossfade nếu cần.</x:v>
      </x:c>
      <x:c r="G13" s="12" t="str">
        <x:v>Flow do bạn chọn từ prototype thật. Keyboard và reduced motion có fallback.</x:v>
      </x:c>
      <x:c r="H13" s="12" t="str">
        <x:v>ui-styling, gsap-core</x:v>
      </x:c>
      <x:c r="I13" s="12" t="str">
        <x:v>Visual polish</x:v>
      </x:c>
      <x:c r="J13" s="12" t="str">
        <x:v>Đề xuất</x:v>
      </x:c>
    </x:row>
    <x:row r="14" ht="94" customHeight="1">
      <x:c r="A14" s="12" t="str">
        <x:v>I07</x:v>
      </x:c>
      <x:c r="B14" s="12" t="str">
        <x:v>P2</x:v>
      </x:c>
      <x:c r="C14" s="12" t="str">
        <x:v>UI system proof</x:v>
      </x:c>
      <x:c r="D14" s="12" t="str">
        <x:v>Một khung cho typography, component states và responsive của Edura.</x:v>
      </x:c>
      <x:c r="E14" s="12" t="str">
        <x:v>Lead UI được thể hiện qua hệ thống và consistency.</x:v>
      </x:c>
      <x:c r="F14" s="12" t="str">
        <x:v>Assets/component hiện có; CSS Grid.</x:v>
      </x:c>
      <x:c r="G14" s="12" t="str">
        <x:v>Chỉ trình bày system thực sự có, không chế thêm để claim.</x:v>
      </x:c>
      <x:c r="H14" s="12" t="str">
        <x:v>ui-styling, ui-ux-pro-max</x:v>
      </x:c>
      <x:c r="I14" s="12" t="str">
        <x:v>Nội dung chủ lực</x:v>
      </x:c>
      <x:c r="J14" s="12" t="str">
        <x:v>Đề xuất</x:v>
      </x:c>
    </x:row>
    <x:row r="15" ht="94" customHeight="1">
      <x:c r="A15" s="12" t="str">
        <x:v>I08</x:v>
      </x:c>
      <x:c r="B15" s="12" t="str">
        <x:v>P2</x:v>
      </x:c>
      <x:c r="C15" s="12" t="str">
        <x:v>Motion diễn giải sản phẩm</x:v>
      </x:c>
      <x:c r="D15" s="12" t="str">
        <x:v>Reveal một nhóm UI khi vào view; nhấn quan hệ giữa hai trạng thái bằng crossfade.</x:v>
      </x:c>
      <x:c r="E15" s="12" t="str">
        <x:v>Motion phục vụ hierarchy và cause/effect.</x:v>
      </x:c>
      <x:c r="F15" s="12" t="str">
        <x:v>GSAP đã cài, transform/opacity, scoped cleanup.</x:v>
      </x:c>
      <x:c r="G15" s="12" t="str">
        <x:v>Không animate mọi block; giảm chuyển động thì đọc ngay.</x:v>
      </x:c>
      <x:c r="H15" s="12" t="str">
        <x:v>gsap-core, design-taste-frontend</x:v>
      </x:c>
      <x:c r="I15" s="12" t="str">
        <x:v>Visual polish</x:v>
      </x:c>
      <x:c r="J15" s="12" t="str">
        <x:v>Đề xuất</x:v>
      </x:c>
    </x:row>
    <x:row r="16" ht="94" customHeight="1">
      <x:c r="A16" s="12" t="str">
        <x:v>I09</x:v>
      </x:c>
      <x:c r="B16" s="12" t="str">
        <x:v>P2</x:v>
      </x:c>
      <x:c r="C16" s="12" t="str">
        <x:v>Một khoảnh khắc cinematic</x:v>
      </x:c>
      <x:c r="D16" s="12" t="str">
        <x:v>Hero UI lớn, crop có chủ đích, intro 0,6-0,9 s là đề xuất.</x:v>
      </x:c>
      <x:c r="E16" s="12" t="str">
        <x:v>Tạo signature đủ nhớ nhưng vẫn truy cập nội dung nhanh.</x:v>
      </x:c>
      <x:c r="F16" s="12" t="str">
        <x:v>Timeline nhỏ, native scroll; không thêm animation library.</x:v>
      </x:c>
      <x:c r="G16" s="12" t="str">
        <x:v>Không giữ pin ngang mặc định cho recruiter. Không dùng loading % giả.</x:v>
      </x:c>
      <x:c r="H16" s="12" t="str">
        <x:v>gpt-taste, gsap-core, ponytail</x:v>
      </x:c>
      <x:c r="I16" s="12" t="str">
        <x:v>Visual polish</x:v>
      </x:c>
      <x:c r="J16" s="12" t="str">
        <x:v>Đề xuất</x:v>
      </x:c>
    </x:row>
    <x:row r="17" ht="94" customHeight="1">
      <x:c r="A17" s="12" t="str">
        <x:v>I10</x:v>
      </x:c>
      <x:c r="B17" s="12" t="str">
        <x:v>P2</x:v>
      </x:c>
      <x:c r="C17" s="12" t="str">
        <x:v>Project composition có nhịp</x:v>
      </x:c>
      <x:c r="D17" s="12" t="str">
        <x:v>Edura full-width, dự án UX/UI thứ hai nhỏ hơn; visual/motion work ở phần phụ.</x:v>
      </x:c>
      <x:c r="E17" s="12" t="str">
        <x:v>Tránh ba card đồng hạng khi chất lượng bằng chứng khác nhau.</x:v>
      </x:c>
      <x:c r="F17" s="12" t="str">
        <x:v>CSS Grid hiện có, mobile một cột.</x:v>
      </x:c>
      <x:c r="G17" s="12" t="str">
        <x:v>Không tạo ô rỗng hoặc carousel chỉ để trông phức tạp.</x:v>
      </x:c>
      <x:c r="H17" s="12" t="str">
        <x:v>design-taste-frontend, redesign-existing-projects</x:v>
      </x:c>
      <x:c r="I17" s="12" t="str">
        <x:v>Visual polish</x:v>
      </x:c>
      <x:c r="J17" s="12" t="str">
        <x:v>Đề xuất</x:v>
      </x:c>
    </x:row>
    <x:row r="18" ht="94" customHeight="1">
      <x:c r="A18" s="12" t="str">
        <x:v>I11</x:v>
      </x:c>
      <x:c r="B18" s="12" t="str">
        <x:v>P2</x:v>
      </x:c>
      <x:c r="C18" s="12" t="str">
        <x:v>Giữ đen/giấy/đỏ có kỷ luật</x:v>
      </x:c>
      <x:c r="D18" s="12" t="str">
        <x:v>Một palette xuyên trang. Đỏ sáng trang trí, đỏ tối cho chữ nhỏ.</x:v>
      </x:c>
      <x:c r="E18" s="12" t="str">
        <x:v>Giữ nhận diện, nâng legibility.</x:v>
      </x:c>
      <x:c r="F18" s="12" t="str">
        <x:v>Tái sử dụng CSS variables, bỏ hex lặp khi chạm component.</x:v>
      </x:c>
      <x:c r="G18" s="12" t="str">
        <x:v>Không đổi brand chỉ vì dataset gợi ý xanh/green.</x:v>
      </x:c>
      <x:c r="H18" s="12" t="str">
        <x:v>ui-ux-pro-max, ui-styling, ponytail</x:v>
      </x:c>
      <x:c r="I18" s="12" t="str">
        <x:v>Visual polish</x:v>
      </x:c>
      <x:c r="J18" s="12" t="str">
        <x:v>Đề xuất</x:v>
      </x:c>
    </x:row>
    <x:row r="19" ht="94" customHeight="1">
      <x:c r="A19" s="12" t="str">
        <x:v>I12</x:v>
      </x:c>
      <x:c r="B19" s="12" t="str">
        <x:v>P2</x:v>
      </x:c>
      <x:c r="C19" s="12" t="str">
        <x:v>Typography cinematic nhưng dễ đọc</x:v>
      </x:c>
      <x:c r="D19" s="12" t="str">
        <x:v>Tên/role chính, h1 2-3 dòng desktop, body max khoảng 65ch. Heading dùng font sans có cá tính.</x:v>
      </x:c>
      <x:c r="E19" s="12" t="str">
        <x:v>Dễ skim và giữ sự mạnh mẽ.</x:v>
      </x:c>
      <x:c r="F19" s="12" t="str">
        <x:v>Giữ Space Grotesk/Manrope trước, self-host subsets và font-display:swap nếu tối ưu.</x:v>
      </x:c>
      <x:c r="G19" s="12" t="str">
        <x:v>Chưa cần đổi font chỉ để khác. Test dấu tiếng Việt và tablet.</x:v>
      </x:c>
      <x:c r="H19" s="12" t="str">
        <x:v>design-taste-frontend, redesign-existing-projects</x:v>
      </x:c>
      <x:c r="I19" s="12" t="str">
        <x:v>Visual polish</x:v>
      </x:c>
      <x:c r="J19" s="12" t="str">
        <x:v>Đề xuất</x:v>
      </x:c>
    </x:row>
    <x:row r="20" ht="94" customHeight="1">
      <x:c r="A20" s="12" t="str">
        <x:v>I13</x:v>
      </x:c>
      <x:c r="B20" s="12" t="str">
        <x:v>P2</x:v>
      </x:c>
      <x:c r="C20" s="12" t="str">
        <x:v>Portrait ánh sáng sạch</x:v>
      </x:c>
      <x:c r="D20" s="12" t="str">
        <x:v>Portrait tự nhiên, crop hợp slot, cùng màu neutral.</x:v>
      </x:c>
      <x:c r="E20" s="12" t="str">
        <x:v>Tạo kết nối cá nhân mà không làm lấn sản phẩm.</x:v>
      </x:c>
      <x:c r="F20" s="12" t="str">
        <x:v>Chụp hoặc chỉnh ảnh thật, tối ưu WebP.</x:v>
      </x:c>
      <x:c r="G20" s="12" t="str">
        <x:v>Giữ chân dung thật. Không cần thêm glow/magnetic effect.</x:v>
      </x:c>
      <x:c r="H20" s="12" t="str">
        <x:v>redesign-existing-projects</x:v>
      </x:c>
      <x:c r="I20" s="12" t="str">
        <x:v>Visual polish</x:v>
      </x:c>
      <x:c r="J20" s="12" t="str">
        <x:v>Đề xuất</x:v>
      </x:c>
    </x:row>
    <x:row r="21" ht="94" customHeight="1">
      <x:c r="A21" s="12" t="str">
        <x:v>I14</x:v>
      </x:c>
      <x:c r="B21" s="12" t="str">
        <x:v>P1</x:v>
      </x:c>
      <x:c r="C21" s="12" t="str">
        <x:v>Contact phục vụ tuyển dụng</x:v>
      </x:c>
      <x:c r="D21" s="12" t="str">
        <x:v>Email, LinkedIn, CV, availability. Contact CTA thống nhất label.</x:v>
      </x:c>
      <x:c r="E21" s="12" t="str">
        <x:v>Giảm bước để mời phỏng vấn hoặc chia sẻ hồ sơ.</x:v>
      </x:c>
      <x:c r="F21" s="12" t="str">
        <x:v>mailto, anchors và PDF tĩnh.</x:v>
      </x:c>
      <x:c r="G21" s="12" t="str">
        <x:v>Không thêm form/backend khi email đã đáp ứng.</x:v>
      </x:c>
      <x:c r="H21" s="12" t="str">
        <x:v>ui-styling, ponytail</x:v>
      </x:c>
      <x:c r="I21" s="12" t="str">
        <x:v>Nội dung chủ lực</x:v>
      </x:c>
      <x:c r="J21" s="12" t="str">
        <x:v>Đề xuất</x:v>
      </x:c>
    </x:row>
    <x:row r="22" ht="94" customHeight="1">
      <x:c r="A22" s="12" t="str">
        <x:v>I15</x:v>
      </x:c>
      <x:c r="B22" s="12" t="str">
        <x:v>P2</x:v>
      </x:c>
      <x:c r="C22" s="12" t="str">
        <x:v>Kinh nghiệm kể bằng đóng góp</x:v>
      </x:c>
      <x:c r="D22" s="12" t="str">
        <x:v>Designveloper trước. Nêu task thật, artifact, cách handoff/collaboration.</x:v>
      </x:c>
      <x:c r="E22" s="12" t="str">
        <x:v>Thể hiện readiness cho product team ở cấp Junior.</x:v>
      </x:c>
      <x:c r="F22" s="12" t="str">
        <x:v>List semantic ngắn; education rút gọn.</x:v>
      </x:c>
      <x:c r="G22" s="12" t="str">
        <x:v>Không bịa số tăng trưởng hoặc gọi mọi công việc là impact.</x:v>
      </x:c>
      <x:c r="H22" s="12" t="str">
        <x:v>product-design:research, redesign-existing-projects</x:v>
      </x:c>
      <x:c r="I22" s="12" t="str">
        <x:v>Nội dung chủ lực</x:v>
      </x:c>
      <x:c r="J22" s="12" t="str">
        <x:v>Đề xuất</x:v>
      </x:c>
    </x:row>
    <x:row r="23" ht="94" customHeight="1">
      <x:c r="A23" s="12" t="str">
        <x:v>I16</x:v>
      </x:c>
      <x:c r="B23" s="12" t="str">
        <x:v>P2</x:v>
      </x:c>
      <x:c r="C23" s="12" t="str">
        <x:v>VERIS có câu chuyện nhất quán</x:v>
      </x:c>
      <x:c r="D23" s="12" t="str">
        <x:v>Brief đúng về trải nghiệm/chữa lành cảm xúc; sửa English UI rồi bổ sung case URL.</x:v>
      </x:c>
      <x:c r="E23" s="12" t="str">
        <x:v>Có thể thành case thứ hai nếu có reasoning và contribution.</x:v>
      </x:c>
      <x:c r="F23" s="12" t="str">
        <x:v>Tái sử dụng Figma/ảnh nguồn thật.</x:v>
      </x:c>
      <x:c r="G23" s="12" t="str">
        <x:v>Không xếp là product case mạnh nếu chỉ có visuals.</x:v>
      </x:c>
      <x:c r="H23" s="12" t="str">
        <x:v>product-design:research, design-taste-frontend</x:v>
      </x:c>
      <x:c r="I23" s="12" t="str">
        <x:v>Nội dung chủ lực</x:v>
      </x:c>
      <x:c r="J23" s="12" t="str">
        <x:v>Đề xuất</x:v>
      </x:c>
    </x:row>
    <x:row r="24" ht="94" customHeight="1">
      <x:c r="A24" s="12" t="str">
        <x:v>I17</x:v>
      </x:c>
      <x:c r="B24" s="12" t="str">
        <x:v>P3</x:v>
      </x:c>
      <x:c r="C24" s="12" t="str">
        <x:v>Visual playground phụ</x:v>
      </x:c>
      <x:c r="D24" s="12" t="str">
        <x:v>VIE, motion reels hoặc brand applications ở cuối trang, chọn ít work tốt.</x:v>
      </x:c>
      <x:c r="E24" s="12" t="str">
        <x:v>Multimedia trở thành điểm khác biệt hỗ trợ UX/UI.</x:v>
      </x:c>
      <x:c r="F24" s="12" t="str">
        <x:v>Thumbnails + link/video click-to-play.</x:v>
      </x:c>
      <x:c r="G24" s="12" t="str">
        <x:v>Không autoplay nhiều video, không thêm gallery framework.</x:v>
      </x:c>
      <x:c r="H24" s="12" t="str">
        <x:v>gpt-taste, ponytail</x:v>
      </x:c>
      <x:c r="I24" s="12" t="str">
        <x:v>Sau bản chính</x:v>
      </x:c>
      <x:c r="J24" s="12" t="str">
        <x:v>Đề xuất</x:v>
      </x:c>
    </x:row>
    <x:row r="25" ht="94" customHeight="1">
      <x:c r="A25" s="12" t="str">
        <x:v>I18</x:v>
      </x:c>
      <x:c r="B25" s="12" t="str">
        <x:v>P2</x:v>
      </x:c>
      <x:c r="C25" s="12" t="str">
        <x:v>Social preview có nhận diện</x:v>
      </x:c>
      <x:c r="D25" s="12" t="str">
        <x:v>OG card từ UI Edura và tên/role, favicon signature.</x:v>
      </x:c>
      <x:c r="E25" s="12" t="str">
        <x:v>Ấn tượng thống nhất khi gửi portfolio.</x:v>
      </x:c>
      <x:c r="F25" s="12" t="str">
        <x:v>Ảnh export và meta HTML tĩnh.</x:v>
      </x:c>
      <x:c r="G25" s="12" t="str">
        <x:v>Không cần dịch vụ dynamic OG.</x:v>
      </x:c>
      <x:c r="H25" s="12" t="str">
        <x:v>redesign-existing-projects, ponytail</x:v>
      </x:c>
      <x:c r="I25" s="12" t="str">
        <x:v>Trước deploy</x:v>
      </x:c>
      <x:c r="J25" s="12" t="str">
        <x:v>Đề xuất</x:v>
      </x:c>
    </x:row>
    <x:row r="26" ht="94" customHeight="1">
      <x:c r="A26" s="12" t="str">
        <x:v>I19</x:v>
      </x:c>
      <x:c r="B26" s="12" t="str">
        <x:v>P2</x:v>
      </x:c>
      <x:c r="C26" s="12" t="str">
        <x:v>Test với recruiter/peer thật</x:v>
      </x:c>
      <x:c r="D26" s="12" t="str">
        <x:v>Cho người đọc tìm vai trò, Lead UI contribution, project proof và email.</x:v>
      </x:c>
      <x:c r="E26" s="12" t="str">
        <x:v>Xác minh comprehension sau redesign.</x:v>
      </x:c>
      <x:c r="F26" s="12" t="str">
        <x:v>Bài test task ngắn, ghi quan sát và lời nói thật.</x:v>
      </x:c>
      <x:c r="G26" s="12" t="str">
        <x:v>Không coi audit hiện tại là user study hay bịa tần suất người gặp lỗi.</x:v>
      </x:c>
      <x:c r="H26" s="12" t="str">
        <x:v>product-design:research, grill-me</x:v>
      </x:c>
      <x:c r="I26" s="12" t="str">
        <x:v>Sau bản chính</x:v>
      </x:c>
      <x:c r="J26" s="12" t="str">
        <x:v>Đề xuất</x:v>
      </x:c>
    </x:row>
    <x:row r="27" ht="94" customHeight="1">
      <x:c r="A27" s="12" t="str">
        <x:v>I20</x:v>
      </x:c>
      <x:c r="B27" s="12" t="str">
        <x:v>P3</x:v>
      </x:c>
      <x:c r="C27" s="12" t="str">
        <x:v>Themes khi có lý do</x:v>
      </x:c>
      <x:c r="D27" s="12" t="str">
        <x:v>Cinematic có thể dùng một theme nhất quán với accent đỏ, không cần toggle ngay.</x:v>
      </x:c>
      <x:c r="E27" s="12" t="str">
        <x:v>Giảm scope và tránh màu mỗi section khác hẳn.</x:v>
      </x:c>
      <x:c r="F27" s="12" t="str">
        <x:v>CSS tokens đã có.</x:v>
      </x:c>
      <x:c r="G27" s="12" t="str">
        <x:v>Chỉ thêm toggle dark/light nếu bạn cần và có thời gian kiểm cả hai.</x:v>
      </x:c>
      <x:c r="H27" s="12" t="str">
        <x:v>design-taste-frontend, ponytail</x:v>
      </x:c>
      <x:c r="I27" s="12" t="str">
        <x:v>Sau bản chính</x:v>
      </x:c>
      <x:c r="J27" s="12" t="str">
        <x:v>Đề xuất</x:v>
      </x:c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0" t="str">
        <x:v>Copy nháp để phát triển, chưa thay nội dung website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62" customHeight="1">
      <x:c r="A31" s="11" t="str">
        <x:v>Hero</x:v>
      </x:c>
      <x:c r="B31" s="11" t="str">
        <x:v>Trần Vũ Anh Duy</x:v>
      </x:c>
      <x:c r="C31" s="11" t="str">
        <x:v>UX/UI Designer</x:v>
      </x:c>
      <x:c r="D31" s="11" t="str">
        <x:v>I design clear digital experiences and use motion to explain how they work.</x:v>
      </x:c>
      <x:c r="E31" s="2"/>
      <x:c r="F31" s="2"/>
      <x:c r="G31" s="2"/>
      <x:c r="H31" s="2"/>
      <x:c r="I31" s="2"/>
      <x:c r="J31" s="2"/>
    </x:row>
    <x:row r="32" ht="62" customHeight="1">
      <x:c r="A32" s="11" t="str">
        <x:v>Edura</x:v>
      </x:c>
      <x:c r="B32" s="11" t="str">
        <x:v>Edura LMS</x:v>
      </x:c>
      <x:c r="C32" s="11" t="str">
        <x:v>Lead UI</x:v>
      </x:c>
      <x:c r="D32" s="11" t="str">
        <x:v>A learning management app for education centers. UI scope, decisions and evidence cần lấy đúng từ case study.</x:v>
      </x:c>
      <x:c r="E32" s="2"/>
      <x:c r="F32" s="2"/>
      <x:c r="G32" s="2"/>
      <x:c r="H32" s="2"/>
      <x:c r="I32" s="2"/>
      <x:c r="J32" s="2"/>
    </x:row>
    <x:row r="33" ht="62" customHeight="1">
      <x:c r="A33" s="11" t="str">
        <x:v>CTA</x:v>
      </x:c>
      <x:c r="B33" s="11" t="str">
        <x:v>View Edura</x:v>
      </x:c>
      <x:c r="C33" s="11" t="str">
        <x:v>Download CV</x:v>
      </x:c>
      <x:c r="D33" s="11" t="str">
        <x:v>Contact</x:v>
      </x:c>
      <x:c r="E33" s="2"/>
      <x:c r="F33" s="2"/>
      <x:c r="G33" s="2"/>
      <x:c r="H33" s="2"/>
      <x:c r="I33" s="2"/>
      <x:c r="J33" s="2"/>
    </x:row>
    <x:row r="34" ht="62" customHeight="1">
      <x:c r="A34" s="11" t="str">
        <x:v>Case story</x:v>
      </x:c>
      <x:c r="B34" s="11" t="str">
        <x:v>Problem + constraints</x:v>
      </x:c>
      <x:c r="C34" s="11" t="str">
        <x:v>My decisions + artifacts</x:v>
      </x:c>
      <x:c r="D34" s="11" t="str">
        <x:v>Feedback + changes + reflection</x:v>
      </x:c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</x:sheetData>
  <x:conditionalFormatting sqref="B8:B27">
    <x:cfRule type="containsText" dxfId="3" priority="1" operator="containsText" text="P1"/>
    <x:cfRule type="containsText" dxfId="4" priority="2" operator="containsText" text="P2"/>
    <x:cfRule type="containsText" dxfId="5" priority="3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3f77d44c9d344c87"/>
  </x:tableParts>
</x:worksheet>
</file>

<file path=xl/worksheets/sheet3.xml><?xml version="1.0" encoding="utf-8"?>
<x:worksheet xmlns:x="http://schemas.openxmlformats.org/spreadsheetml/2006/main">
  <x:sheetPr>
    <x:tabColor rgb="FFBE8C4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16" hidden="0" customWidth="1"/>
    <x:col min="3" max="3" width="58" hidden="0" customWidth="1"/>
    <x:col min="4" max="4" width="58" hidden="0" customWidth="1"/>
    <x:col min="5" max="5" width="26" hidden="0" customWidth="1"/>
    <x:col min="6" max="6" width="22" hidden="0" customWidth="1"/>
    <x:col min="7" max="7" width="5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Quyết định đã chốt và câu hỏi còn lại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 t="str">
        <x:v>Cột D lưu câu trả lời. Đối chiếu artifacts trên Behance trước; các ô vàng chỉ hỏi phần chưa rõ khi viết case study.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2" customHeight="1">
      <x:c r="A6" s="17" t="str">
        <x:v>ID</x:v>
      </x:c>
      <x:c r="B6" s="18" t="str">
        <x:v>Nhánh</x:v>
      </x:c>
      <x:c r="C6" s="18" t="str">
        <x:v>Câu hỏi</x:v>
      </x:c>
      <x:c r="D6" s="18" t="str">
        <x:v>Câu trả lời</x:v>
      </x:c>
      <x:c r="E6" s="18" t="str">
        <x:v>Cần ai cung cấp</x:v>
      </x:c>
      <x:c r="F6" s="18" t="str">
        <x:v>Trạng thái</x:v>
      </x:c>
      <x:c r="G6" s="19" t="str">
        <x:v>Đề xuất / vì sao cần</x:v>
      </x:c>
    </x:row>
    <x:row r="7" ht="94" customHeight="1">
      <x:c r="A7" s="12" t="str">
        <x:v>Q01</x:v>
      </x:c>
      <x:c r="B7" s="12" t="str">
        <x:v>Mục tiêu</x:v>
      </x:c>
      <x:c r="C7" s="12" t="str">
        <x:v>Ai cần bị thuyết phục?</x:v>
      </x:c>
      <x:c r="D7" s="12" t="str">
        <x:v>Nhà tuyển dụng UX/UI hoặc Product Designer</x:v>
      </x:c>
      <x:c r="E7" s="12" t="str">
        <x:v>Đã trả lời</x:v>
      </x:c>
      <x:c r="F7" s="12" t="str">
        <x:v>Đã chốt</x:v>
      </x:c>
      <x:c r="G7" s="12" t="str">
        <x:v>Dùng để xếp IA và project order.</x:v>
      </x:c>
    </x:row>
    <x:row r="8" ht="94" customHeight="1">
      <x:c r="A8" s="12" t="str">
        <x:v>Q02</x:v>
      </x:c>
      <x:c r="B8" s="12" t="str">
        <x:v>Cấp độ</x:v>
      </x:c>
      <x:c r="C8" s="12" t="str">
        <x:v>Ứng tuyển cấp độ/môi trường nào?</x:v>
      </x:c>
      <x:c r="D8" s="12" t="str">
        <x:v>Junior trong product team</x:v>
      </x:c>
      <x:c r="E8" s="12" t="str">
        <x:v>Đã trả lời</x:v>
      </x:c>
      <x:c r="F8" s="12" t="str">
        <x:v>Đã chốt</x:v>
      </x:c>
      <x:c r="G8" s="12" t="str">
        <x:v>Ưu tiên reasoning, collaboration, learning và phạm vi thật.</x:v>
      </x:c>
    </x:row>
    <x:row r="9" ht="94" customHeight="1">
      <x:c r="A9" s="12" t="str">
        <x:v>Q03</x:v>
      </x:c>
      <x:c r="B9" s="12" t="str">
        <x:v>Visual</x:v>
      </x:c>
      <x:c r="C9" s="12" t="str">
        <x:v>Hướng hình ảnh nào?</x:v>
      </x:c>
      <x:c r="D9" s="12" t="str">
        <x:v>Cinematic, hình ảnh lớn, motion có chọn lọc</x:v>
      </x:c>
      <x:c r="E9" s="12" t="str">
        <x:v>Đã trả lời</x:v>
      </x:c>
      <x:c r="F9" s="12" t="str">
        <x:v>Đã chốt</x:v>
      </x:c>
      <x:c r="G9" s="12" t="str">
        <x:v>Một khoảnh khắc mạnh. Nội dung và native interaction luôn dùng được.</x:v>
      </x:c>
    </x:row>
    <x:row r="10" ht="94" customHeight="1">
      <x:c r="A10" s="12" t="str">
        <x:v>Q04</x:v>
      </x:c>
      <x:c r="B10" s="12" t="str">
        <x:v>Edura</x:v>
      </x:c>
      <x:c r="C10" s="12" t="str">
        <x:v>Vai trò cá nhân chủ lực?</x:v>
      </x:c>
      <x:c r="D10" s="12" t="str">
        <x:v>Lead UI. Bằng chứng trong Behance</x:v>
      </x:c>
      <x:c r="E10" s="12" t="str">
        <x:v>Đã trả lời</x:v>
      </x:c>
      <x:c r="F10" s="12" t="str">
        <x:v>Đã chốt</x:v>
      </x:c>
      <x:c r="G10" s="12" t="str">
        <x:v>Phân biệt đóng góp UI lead với công việc UX của nhóm.</x:v>
      </x:c>
    </x:row>
    <x:row r="11" ht="94" customHeight="1">
      <x:c r="A11" s="12" t="str">
        <x:v>Q05</x:v>
      </x:c>
      <x:c r="B11" s="12" t="str">
        <x:v>Deploy</x:v>
      </x:c>
      <x:c r="C11" s="12" t="str">
        <x:v>URL public hiện tại? </x:v>
      </x:c>
      <x:c r="D11" s="12" t="str">
        <x:v>https://my-portfolio-2026-seven.vercel.app/</x:v>
      </x:c>
      <x:c r="E11" s="12" t="str">
        <x:v>Đã trả lời</x:v>
      </x:c>
      <x:c r="F11" s="12" t="str">
        <x:v>Đã chốt</x:v>
      </x:c>
      <x:c r="G11" s="12" t="str">
        <x:v>Không publish bản mới trong đợt audit này.</x:v>
      </x:c>
    </x:row>
    <x:row r="12" ht="94" customHeight="1">
      <x:c r="A12" s="12" t="str">
        <x:v>Q06</x:v>
      </x:c>
      <x:c r="B12" s="12" t="str">
        <x:v>Edura</x:v>
      </x:c>
      <x:c r="C12" s="12" t="str">
        <x:v>Ba quyết định UI quan trọng nhất bạn sở hữu là gì?</x:v>
      </x:c>
      <x:c r="D12" s="21" t="str"/>
      <x:c r="E12" s="12" t="str">
        <x:v>Cần bạn bổ sung</x:v>
      </x:c>
      <x:c r="F12" s="12" t="str">
        <x:v>Chưa trả lời</x:v>
      </x:c>
      <x:c r="G12" s="12" t="str">
        <x:v>Chọn quyết định có constraint, artifact, tradeoff và feedback.</x:v>
      </x:c>
    </x:row>
    <x:row r="13" ht="94" customHeight="1">
      <x:c r="A13" s="12" t="str">
        <x:v>Q07</x:v>
      </x:c>
      <x:c r="B13" s="12" t="str">
        <x:v>Edura</x:v>
      </x:c>
      <x:c r="C13" s="12" t="str">
        <x:v>Team size, timeline, prototype/shipped status và scope thật?</x:v>
      </x:c>
      <x:c r="D13" s="21" t="str"/>
      <x:c r="E13" s="12" t="str">
        <x:v>Cần bạn bổ sung</x:v>
      </x:c>
      <x:c r="F13" s="12" t="str">
        <x:v>Chưa trả lời</x:v>
      </x:c>
      <x:c r="G13" s="12" t="str">
        <x:v>Nêu role cụ thể. Dự án học tập ghi đúng là học tập.</x:v>
      </x:c>
    </x:row>
    <x:row r="14" ht="94" customHeight="1">
      <x:c r="A14" s="12" t="str">
        <x:v>Q08</x:v>
      </x:c>
      <x:c r="B14" s="12" t="str">
        <x:v>Edura</x:v>
      </x:c>
      <x:c r="C14" s="12" t="str">
        <x:v>Excellent là đánh giá của ai, bằng rubric hay feedback nào?</x:v>
      </x:c>
      <x:c r="D14" s="21" t="str"/>
      <x:c r="E14" s="12" t="str">
        <x:v>Cần bạn bổ sung</x:v>
      </x:c>
      <x:c r="F14" s="12" t="str">
        <x:v>Chưa trả lời</x:v>
      </x:c>
      <x:c r="G14" s="12" t="str">
        <x:v>Gắn nguồn công khai được. Nếu không có, bỏ claim xếp hạng.</x:v>
      </x:c>
    </x:row>
    <x:row r="15" ht="94" customHeight="1">
      <x:c r="A15" s="12" t="str">
        <x:v>Q09</x:v>
      </x:c>
      <x:c r="B15" s="12" t="str">
        <x:v>Edura</x:v>
      </x:c>
      <x:c r="C15" s="12" t="str">
        <x:v>Bạn có kết quả usability/feedback nào có thể dẫn nguồn?</x:v>
      </x:c>
      <x:c r="D15" s="21" t="str"/>
      <x:c r="E15" s="12" t="str">
        <x:v>Cần bạn bổ sung</x:v>
      </x:c>
      <x:c r="F15" s="12" t="str">
        <x:v>Chưa trả lời</x:v>
      </x:c>
      <x:c r="G15" s="12" t="str">
        <x:v>Số người test, task và thay đổi thật. Không thay business metric bằng số bịa.</x:v>
      </x:c>
    </x:row>
    <x:row r="16" ht="94" customHeight="1">
      <x:c r="A16" s="12" t="str">
        <x:v>Q10</x:v>
      </x:c>
      <x:c r="B16" s="12" t="str">
        <x:v>Hồ sơ</x:v>
      </x:c>
      <x:c r="C16" s="12" t="str">
        <x:v>LinkedIn và PDF CV cập nhật ở đâu?</x:v>
      </x:c>
      <x:c r="D16" s="21" t="str"/>
      <x:c r="E16" s="12" t="str">
        <x:v>Cần bạn bổ sung</x:v>
      </x:c>
      <x:c r="F16" s="12" t="str">
        <x:v>Chưa trả lời</x:v>
      </x:c>
      <x:c r="G16" s="12" t="str">
        <x:v>Email + CV + LinkedIn đủ cho bản đầu.</x:v>
      </x:c>
    </x:row>
    <x:row r="17" ht="94" customHeight="1">
      <x:c r="A17" s="12" t="str">
        <x:v>Q11</x:v>
      </x:c>
      <x:c r="B17" s="12" t="str">
        <x:v>Dự án thứ hai</x:v>
      </x:c>
      <x:c r="C17" s="12" t="str">
        <x:v>VERIS là emotional healing hay social networking; contribution cá nhân là gì?</x:v>
      </x:c>
      <x:c r="D17" s="21" t="str"/>
      <x:c r="E17" s="12" t="str">
        <x:v>Cần bạn bổ sung</x:v>
      </x:c>
      <x:c r="F17" s="12" t="str">
        <x:v>Chưa trả lời</x:v>
      </x:c>
      <x:c r="G17" s="12" t="str">
        <x:v>Chốt brief gốc trước khi viết copy.</x:v>
      </x:c>
    </x:row>
    <x:row r="18" ht="94" customHeight="1">
      <x:c r="A18" s="12" t="str">
        <x:v>Q12</x:v>
      </x:c>
      <x:c r="B18" s="12" t="str">
        <x:v>Asset</x:v>
      </x:c>
      <x:c r="C18" s="12" t="str">
        <x:v>Có quyền công khai những màn hình, research và feedback nào?</x:v>
      </x:c>
      <x:c r="D18" s="21" t="str"/>
      <x:c r="E18" s="12" t="str">
        <x:v>Cần bạn bổ sung</x:v>
      </x:c>
      <x:c r="F18" s="12" t="str">
        <x:v>Chưa trả lời</x:v>
      </x:c>
      <x:c r="G18" s="12" t="str">
        <x:v>Chọn artifact public được. Ghi rõ phần bị giới hạn nếu thực tế có.</x:v>
      </x:c>
    </x:row>
    <x:row r="19" ht="94" customHeight="1">
      <x:c r="A19" s="12" t="str">
        <x:v>Q13</x:v>
      </x:c>
      <x:c r="B19" s="12" t="str">
        <x:v>Brand</x:v>
      </x:c>
      <x:c r="C19" s="12" t="str">
        <x:v>JUE.STUDIO nên giữ như signature hay đổi sang tên cá nhân?</x:v>
      </x:c>
      <x:c r="D19" s="21" t="str"/>
      <x:c r="E19" s="12" t="str">
        <x:v>Cần bạn quyết định</x:v>
      </x:c>
      <x:c r="F19" s="12" t="str">
        <x:v>Chưa trả lời</x:v>
      </x:c>
      <x:c r="G19" s="12" t="str">
        <x:v>Đề xuất tên cá nhân chính, JUE là signature phụ. Không đổi logo âm thầm.</x:v>
      </x:c>
    </x:row>
    <x:row r="20" ht="94" customHeight="1">
      <x:c r="A20" s="12" t="str">
        <x:v>Q14</x:v>
      </x:c>
      <x:c r="B20" s="12" t="str">
        <x:v>Case flow</x:v>
      </x:c>
      <x:c r="C20" s="12" t="str">
        <x:v>Flow Edura nào thể hiện rõ năng lực Lead UI nhất?</x:v>
      </x:c>
      <x:c r="D20" s="21" t="str"/>
      <x:c r="E20" s="12" t="str">
        <x:v>Cần bạn quyết định</x:v>
      </x:c>
      <x:c r="F20" s="12" t="str">
        <x:v>Chưa trả lời</x:v>
      </x:c>
      <x:c r="G20" s="12" t="str">
        <x:v>Chọn một flow có prototype và phản hồi thật để spotlight.</x:v>
      </x:c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</x:sheetData>
  <x:dataValidations count="1">
    <x:dataValidation type="list" sqref="F7:F20">
      <x:formula1>"Đã chốt,Chưa trả lời,Đã bổ sung"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bb6a9046304a6a"/>
  </x:tableParts>
</x:worksheet>
</file>

<file path=xl/worksheets/sheet4.xml><?xml version="1.0" encoding="utf-8"?>
<x:worksheet xmlns:x="http://schemas.openxmlformats.org/spreadsheetml/2006/main">
  <x:sheetPr>
    <x:tabColor rgb="FF56687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47" hidden="0" customWidth="1"/>
    <x:col min="4" max="4" width="23" hidden="0" customWidth="1"/>
    <x:col min="5" max="5" width="58" hidden="0" customWidth="1"/>
    <x:col min="6" max="6" width="63" hidden="0" customWidth="1"/>
    <x:col min="7" max="7" width="5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Kiểm thử đã chạy và giới hạn bằng chứng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 t="str">
        <x:v>Đọc kết quả cùng môi trường, viewport và giới hạn. Không có complaint, conversion rate hoặc field metric đã đo.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2" customHeight="1">
      <x:c r="A6" s="17" t="str">
        <x:v>ID</x:v>
      </x:c>
      <x:c r="B6" s="18" t="str">
        <x:v>Hạng mục</x:v>
      </x:c>
      <x:c r="C6" s="18" t="str">
        <x:v>Cách kiểm</x:v>
      </x:c>
      <x:c r="D6" s="18" t="str">
        <x:v>Kết quả</x:v>
      </x:c>
      <x:c r="E6" s="18" t="str">
        <x:v>Quan sát</x:v>
      </x:c>
      <x:c r="F6" s="18" t="str">
        <x:v>Giới hạn</x:v>
      </x:c>
      <x:c r="G6" s="19" t="str">
        <x:v>Nguồn / liên quan</x:v>
      </x:c>
    </x:row>
    <x:row r="7" ht="94" customHeight="1">
      <x:c r="A7" s="12" t="str">
        <x:v>T01</x:v>
      </x:c>
      <x:c r="B7" s="12" t="str">
        <x:v>Local build</x:v>
      </x:c>
      <x:c r="C7" s="12" t="str">
        <x:v>npm run build</x:v>
      </x:c>
      <x:c r="D7" s="12" t="str">
        <x:v>Đạt</x:v>
      </x:c>
      <x:c r="E7" s="12" t="str">
        <x:v>Vite 7.3.0, 15,15 s. JS 401,63 KB / gzip 138,59 KB. CSS 21,06 KB / gzip 5,23 KB.</x:v>
      </x:c>
      <x:c r="F7" s="12" t="str">
        <x:v>Không đồng nghĩa production field performance tốt.</x:v>
      </x:c>
      <x:c r="G7" s="12" t="str">
        <x:v>package.json; dist/</x:v>
      </x:c>
    </x:row>
    <x:row r="8" ht="94" customHeight="1">
      <x:c r="A8" s="12" t="str">
        <x:v>T02</x:v>
      </x:c>
      <x:c r="B8" s="12" t="str">
        <x:v>Lint repo</x:v>
      </x:c>
      <x:c r="C8" s="12" t="str">
        <x:v>npm run lint</x:v>
      </x:c>
      <x:c r="D8" s="12" t="str">
        <x:v>Lỗi</x:v>
      </x:c>
      <x:c r="E8" s="12" t="str">
        <x:v>488 errors + 26 warnings; vendor và hai lỗi source.</x:v>
      </x:c>
      <x:c r="F8" s="12" t="str">
        <x:v>CI chỉ bị chặn nếu cấu hình gate lint.</x:v>
      </x:c>
      <x:c r="G8" s="12" t="str">
        <x:v>A09/A10</x:v>
      </x:c>
    </x:row>
    <x:row r="9" ht="94" customHeight="1">
      <x:c r="A9" s="12" t="str">
        <x:v>T03</x:v>
      </x:c>
      <x:c r="B9" s="12" t="str">
        <x:v>Lint source</x:v>
      </x:c>
      <x:c r="C9" s="12" t="str">
        <x:v>eslint src --format json</x:v>
      </x:c>
      <x:c r="D9" s="12" t="str">
        <x:v>Lỗi</x:v>
      </x:c>
      <x:c r="E9" s="12" t="str">
        <x:v>Hai lỗi react-hooks/refs ở Preloader:13, Work:112.</x:v>
      </x:c>
      <x:c r="F9" s="12" t="str">
        <x:v>Work có thể cần xác minh analyzer; không gọi là runtime crash.</x:v>
      </x:c>
      <x:c r="G9" s="12" t="str">
        <x:v>support/source-lint.json</x:v>
      </x:c>
    </x:row>
    <x:row r="10" ht="94" customHeight="1">
      <x:c r="A10" s="12" t="str">
        <x:v>T04</x:v>
      </x:c>
      <x:c r="B10" s="12" t="str">
        <x:v>Live HTTP</x:v>
      </x:c>
      <x:c r="C10" s="12" t="str">
        <x:v>GET public URL</x:v>
      </x:c>
      <x:c r="D10" s="12" t="str">
        <x:v>Đạt</x:v>
      </x:c>
      <x:c r="E10" s="12" t="str">
        <x:v>HTTP 200, text/html, x-vercel-cache HIT.</x:v>
      </x:c>
      <x:c r="F10" s="12" t="str">
        <x:v>Không có access build history/runtime server logs của Vercel. Không chứng minh mọi deploy trước đây đều thành công.</x:v>
      </x:c>
      <x:c r="G10" s="12" t="str">
        <x:v>https://my-portfolio-2026-seven.vercel.app/</x:v>
      </x:c>
    </x:row>
    <x:row r="11" ht="94" customHeight="1">
      <x:c r="A11" s="12" t="str">
        <x:v>T05</x:v>
      </x:c>
      <x:c r="B11" s="12" t="str">
        <x:v>Local serve</x:v>
      </x:c>
      <x:c r="C11" s="12" t="str">
        <x:v>GET 127.0.0.1:4173</x:v>
      </x:c>
      <x:c r="D11" s="12" t="str">
        <x:v>Đạt</x:v>
      </x:c>
      <x:c r="E11" s="12" t="str">
        <x:v>Production dist phục vụ HTTP 200 qua vite preview.</x:v>
      </x:c>
      <x:c r="F11" s="12" t="str">
        <x:v>Preview chỉ dùng để kiểm, không là production server.</x:v>
      </x:c>
      <x:c r="G11" s="12" t="str">
        <x:v>Vite preview</x:v>
      </x:c>
    </x:row>
    <x:row r="12" ht="94" customHeight="1">
      <x:c r="A12" s="12" t="str">
        <x:v>T06</x:v>
      </x:c>
      <x:c r="B12" s="12" t="str">
        <x:v>Version parity</x:v>
      </x:c>
      <x:c r="C12" s="12" t="str">
        <x:v>HTML asset hashes + DOM</x:v>
      </x:c>
      <x:c r="D12" s="12" t="str">
        <x:v>Khác nhau</x:v>
      </x:c>
      <x:c r="E12" s="12" t="str">
        <x:v>Live index-D264NIrm.js; local index-Ca5rCiJk.js.</x:v>
      </x:c>
      <x:c r="F12" s="12" t="str">
        <x:v>Audit gắn môi trường. Working tree có thay đổi chưa commit.</x:v>
      </x:c>
      <x:c r="G12" s="12" t="str">
        <x:v>A37</x:v>
      </x:c>
    </x:row>
    <x:row r="13" ht="94" customHeight="1">
      <x:c r="A13" s="12" t="str">
        <x:v>T07</x:v>
      </x:c>
      <x:c r="B13" s="12" t="str">
        <x:v>Desktop hero</x:v>
      </x:c>
      <x:c r="C13" s="12" t="str">
        <x:v>Live 1440×900 + Local 1280×720</x:v>
      </x:c>
      <x:c r="D13" s="12" t="str">
        <x:v>Pain point</x:v>
      </x:c>
      <x:c r="E13" s="12" t="str">
        <x:v>Tên vai trò multimedia và thiếu CTA case chủ lực.</x:v>
      </x:c>
      <x:c r="F13" s="12" t="str">
        <x:v>Ảnh initial live 01 bị crop bị loại; dùng ảnh 17 ổn định.</x:v>
      </x:c>
      <x:c r="G13" s="12" t="str">
        <x:v>E01</x:v>
      </x:c>
    </x:row>
    <x:row r="14" ht="94" customHeight="1">
      <x:c r="A14" s="12" t="str">
        <x:v>T08</x:v>
      </x:c>
      <x:c r="B14" s="12" t="str">
        <x:v>Live anchors</x:v>
      </x:c>
      <x:c r="C14" s="12" t="str">
        <x:v>Profile / Work / Contact</x:v>
      </x:c>
      <x:c r="D14" s="12" t="str">
        <x:v>Đạt một phần</x:v>
      </x:c>
      <x:c r="E14" s="12" t="str">
        <x:v>Hash đổi đúng và tới sections; Work heading bị che bởi nav tại điểm nhảy.</x:v>
      </x:c>
      <x:c r="F14" s="12" t="str">
        <x:v>Không nhầm với lỗi Nav GSAP ở bản local.</x:v>
      </x:c>
      <x:c r="G14" s="12" t="str">
        <x:v>E02/E03</x:v>
      </x:c>
    </x:row>
    <x:row r="15" ht="94" customHeight="1">
      <x:c r="A15" s="12" t="str">
        <x:v>T09</x:v>
      </x:c>
      <x:c r="B15" s="12" t="str">
        <x:v>Local nav</x:v>
      </x:c>
      <x:c r="C15" s="12" t="str">
        <x:v>Click + Enter vào Work</x:v>
      </x:c>
      <x:c r="D15" s="12" t="str">
        <x:v>Lỗi</x:v>
      </x:c>
      <x:c r="E15" s="12" t="str">
        <x:v>TypeError undefined.style trong Smoother.offset.</x:v>
      </x:c>
      <x:c r="F15" s="12" t="str">
        <x:v>Root cause selector scope Nav đã kiểm bằng source và Node. Reload sạch khi kiểm bản sửa.</x:v>
      </x:c>
      <x:c r="G15" s="12" t="str">
        <x:v>A01; local-console.json</x:v>
      </x:c>
    </x:row>
    <x:row r="16" ht="94" customHeight="1">
      <x:c r="A16" s="12" t="str">
        <x:v>T10</x:v>
      </x:c>
      <x:c r="B16" s="12" t="str">
        <x:v>Live mobile</x:v>
      </x:c>
      <x:c r="C16" s="12" t="str">
        <x:v>375×812 hero/contact</x:v>
      </x:c>
      <x:c r="D16" s="12" t="str">
        <x:v>Lỗi</x:v>
      </x:c>
      <x:c r="E16" s="12" t="str">
        <x:v>Nav fit ở 375, email/icon lệch trái. Hero đọc được.</x:v>
      </x:c>
      <x:c r="F16" s="12" t="str">
        <x:v>Viewport mô phỏng, không phải thiết bị iOS thật.</x:v>
      </x:c>
      <x:c r="G16" s="12" t="str">
        <x:v>06/07 screenshots</x:v>
      </x:c>
    </x:row>
    <x:row r="17" ht="94" customHeight="1">
      <x:c r="A17" s="12" t="str">
        <x:v>T11</x:v>
      </x:c>
      <x:c r="B17" s="12" t="str">
        <x:v>Live narrow mobile</x:v>
      </x:c>
      <x:c r="C17" s="12" t="str">
        <x:v>320×740 contact</x:v>
      </x:c>
      <x:c r="D17" s="12" t="str">
        <x:v>Lỗi</x:v>
      </x:c>
      <x:c r="E17" s="12" t="str">
        <x:v>Contact nav vượt phải; email bị cắt bên trái.</x:v>
      </x:c>
      <x:c r="F17" s="12" t="str">
        <x:v>Không có horizontal scrollbar không chứng minh không clipping.</x:v>
      </x:c>
      <x:c r="G17" s="12" t="str">
        <x:v>E04</x:v>
      </x:c>
    </x:row>
    <x:row r="18" ht="94" customHeight="1">
      <x:c r="A18" s="12" t="str">
        <x:v>T12</x:v>
      </x:c>
      <x:c r="B18" s="12" t="str">
        <x:v>Local mobile</x:v>
      </x:c>
      <x:c r="C18" s="12" t="str">
        <x:v>375×812 hero/contact</x:v>
      </x:c>
      <x:c r="D18" s="12" t="str">
        <x:v>Lỗi</x:v>
      </x:c>
      <x:c r="E18" s="12" t="str">
        <x:v>Nav Contact x tới397,7; viewport375. Email pill vượt vùng nhìn.</x:v>
      </x:c>
      <x:c r="F18" s="12" t="str">
        <x:v>Smoother làm click trong lúc cuộn khó đối chiếu; dùng screenshot ổn định.</x:v>
      </x:c>
      <x:c r="G18" s="12" t="str">
        <x:v>E05</x:v>
      </x:c>
    </x:row>
    <x:row r="19" ht="94" customHeight="1">
      <x:c r="A19" s="12" t="str">
        <x:v>T13</x:v>
      </x:c>
      <x:c r="B19" s="12" t="str">
        <x:v>Local tablet</x:v>
      </x:c>
      <x:c r="C19" s="12" t="str">
        <x:v>768×1024</x:v>
      </x:c>
      <x:c r="D19" s="12" t="str">
        <x:v>Lỗi</x:v>
      </x:c>
      <x:c r="E19" s="12" t="str">
        <x:v>edu-title scrollWidth353/clientWidth189; footer CONNECT gãy từ.</x:v>
      </x:c>
      <x:c r="F19" s="12" t="str">
        <x:v>Bằng chứng title là DOM geometry, ảnh E07 là footer.</x:v>
      </x:c>
      <x:c r="G19" s="12" t="str">
        <x:v>A07/A08; E07</x:v>
      </x:c>
    </x:row>
    <x:row r="20" ht="94" customHeight="1">
      <x:c r="A20" s="12" t="str">
        <x:v>T14</x:v>
      </x:c>
      <x:c r="B20" s="12" t="str">
        <x:v>Local short desktop</x:v>
      </x:c>
      <x:c r="C20" s="12" t="str">
        <x:v>1280×720 gallery</x:v>
      </x:c>
      <x:c r="D20" s="12" t="str">
        <x:v>Lỗi</x:v>
      </x:c>
      <x:c r="E20" s="12" t="str">
        <x:v>Fixed pin khung720, heading/progress vượt vùng clip.</x:v>
      </x:c>
      <x:c r="F20" s="12" t="str">
        <x:v>E06 chụp lúc đã cuộn gallery; không gọi offscreen card là thiếu asset.</x:v>
      </x:c>
      <x:c r="G20" s="12" t="str">
        <x:v>A06; E06</x:v>
      </x:c>
    </x:row>
    <x:row r="21" ht="94" customHeight="1">
      <x:c r="A21" s="12" t="str">
        <x:v>T15</x:v>
      </x:c>
      <x:c r="B21" s="12" t="str">
        <x:v>Filter keyboard</x:v>
      </x:c>
      <x:c r="C21" s="12" t="str">
        <x:v>All / UX/UI Design</x:v>
      </x:c>
      <x:c r="D21" s="12" t="str">
        <x:v>Đạt một phần</x:v>
      </x:c>
      <x:c r="E21" s="12" t="str">
        <x:v>Enter: All=3 cards, UX/UI Design=1 card.</x:v>
      </x:c>
      <x:c r="F21" s="12" t="str">
        <x:v>aria-pressed thiếu. Chưa xác minh đầy đủ touch/filter/pin focus ở mọi breakpoint.</x:v>
      </x:c>
      <x:c r="G21" s="12" t="str">
        <x:v>A19</x:v>
      </x:c>
    </x:row>
    <x:row r="22" ht="94" customHeight="1">
      <x:c r="A22" s="12" t="str">
        <x:v>T16</x:v>
      </x:c>
      <x:c r="B22" s="12" t="str">
        <x:v>Project URLs</x:v>
      </x:c>
      <x:c r="C22" s="12" t="str">
        <x:v>DOM href của 3 cases</x:v>
      </x:c>
      <x:c r="D22" s="12" t="str">
        <x:v>Lỗi</x:v>
      </x:c>
      <x:c r="E22" s="12" t="str">
        <x:v>Edura URL thật; VERIS/VIE href null.</x:v>
      </x:c>
      <x:c r="F22" s="12" t="str">
        <x:v>Không click card thiếu URL để giả kết quả.</x:v>
      </x:c>
      <x:c r="G22" s="12" t="str">
        <x:v>A04</x:v>
      </x:c>
    </x:row>
    <x:row r="23" ht="94" customHeight="1">
      <x:c r="A23" s="12" t="str">
        <x:v>T17</x:v>
      </x:c>
      <x:c r="B23" s="12" t="str">
        <x:v>Contact destinations</x:v>
      </x:c>
      <x:c r="C23" s="12" t="str">
        <x:v>mailto/tel/social DOM</x:v>
      </x:c>
      <x:c r="D23" s="12" t="str">
        <x:v>Đạt một phần</x:v>
      </x:c>
      <x:c r="E23" s="12" t="str">
        <x:v>mailto/tel đúng cấu trúc, Facebook có URL, LinkedIn/Website #.</x:v>
      </x:c>
      <x:c r="F23" s="12" t="str">
        <x:v>Không gửi email/gọi điện/đăng nội dung.</x:v>
      </x:c>
      <x:c r="G23" s="12" t="str">
        <x:v>A05</x:v>
      </x:c>
    </x:row>
    <x:row r="24" ht="94" customHeight="1">
      <x:c r="A24" s="12" t="str">
        <x:v>T18</x:v>
      </x:c>
      <x:c r="B24" s="12" t="str">
        <x:v>Local console</x:v>
      </x:c>
      <x:c r="C24" s="12" t="str">
        <x:v>Load + nav + resize</x:v>
      </x:c>
      <x:c r="D24" s="12" t="str">
        <x:v>Lỗi</x:v>
      </x:c>
      <x:c r="E24" s="12" t="str">
        <x:v>Welcome target not found; Nav TypeError; warning hero sau lỗi nav.</x:v>
      </x:c>
      <x:c r="F24" s="12" t="str">
        <x:v>Warning hero có thể là cascade context sau TypeError.</x:v>
      </x:c>
      <x:c r="G24" s="12" t="str">
        <x:v>support/local-console.json</x:v>
      </x:c>
    </x:row>
    <x:row r="25" ht="94" customHeight="1">
      <x:c r="A25" s="12" t="str">
        <x:v>T19</x:v>
      </x:c>
      <x:c r="B25" s="12" t="str">
        <x:v>Images</x:v>
      </x:c>
      <x:c r="C25" s="12" t="str">
        <x:v>File bytes + image dimensions</x:v>
      </x:c>
      <x:c r="D25" s="12" t="str">
        <x:v>Lỗi</x:v>
      </x:c>
      <x:c r="E25" s="12" t="str">
        <x:v>17.210.780 bytes cho avatar+3 covers; VERIS 8K.</x:v>
      </x:c>
      <x:c r="F25" s="12" t="str">
        <x:v>Không dùng kích thước ảnh để suy ra LCP/INP.</x:v>
      </x:c>
      <x:c r="G25" s="12" t="str">
        <x:v>A13</x:v>
      </x:c>
    </x:row>
    <x:row r="26" ht="94" customHeight="1">
      <x:c r="A26" s="12" t="str">
        <x:v>T20</x:v>
      </x:c>
      <x:c r="B26" s="12" t="str">
        <x:v>Metadata</x:v>
      </x:c>
      <x:c r="C26" s="12" t="str">
        <x:v>Live HTTP HTML + local index.html</x:v>
      </x:c>
      <x:c r="D26" s="12" t="str">
        <x:v>Lỗi</x:v>
      </x:c>
      <x:c r="E26" s="12" t="str">
        <x:v>Vite favicon/title, không description/OG/canonical.</x:v>
      </x:c>
      <x:c r="F26" s="12" t="str">
        <x:v>Không có dữ liệu ranking/Search Console để kết luận mất SEO traffic.</x:v>
      </x:c>
      <x:c r="G26" s="12" t="str">
        <x:v>A35</x:v>
      </x:c>
    </x:row>
    <x:row r="27" ht="94" customHeight="1">
      <x:c r="A27" s="12" t="str">
        <x:v>T21</x:v>
      </x:c>
      <x:c r="B27" s="12" t="str">
        <x:v>Reduced motion</x:v>
      </x:c>
      <x:c r="C27" s="12" t="str">
        <x:v>Đọc branches và CSS</x:v>
      </x:c>
      <x:c r="D27" s="12" t="str">
        <x:v>Thiếu bao phủ</x:v>
      </x:c>
      <x:c r="E27" s="12" t="str">
        <x:v>Một số components GSAP không kiểm media preference.</x:v>
      </x:c>
      <x:c r="F27" s="12" t="str">
        <x:v>Chưa bật OS preference hoặc emulate runtime trong phiên này.</x:v>
      </x:c>
      <x:c r="G27" s="12" t="str">
        <x:v>A15/A16</x:v>
      </x:c>
    </x:row>
    <x:row r="28" ht="94" customHeight="1">
      <x:c r="A28" s="12" t="str">
        <x:v>T22</x:v>
      </x:c>
      <x:c r="B28" s="12" t="str">
        <x:v>Accessibility</x:v>
      </x:c>
      <x:c r="C28" s="12" t="str">
        <x:v>DOM semantics + màu</x:v>
      </x:c>
      <x:c r="D28" s="12" t="str">
        <x:v>Thiếu bao phủ</x:v>
      </x:c>
      <x:c r="E28" s="12" t="str">
        <x:v>H1, filter state, contrast, native link được kiểm.</x:v>
      </x:c>
      <x:c r="F28" s="12" t="str">
        <x:v>Chưa có full screen reader/axe/zoom audit. Không chứng nhận WCAG compliance.</x:v>
      </x:c>
      <x:c r="G28" s="12" t="str">
        <x:v>A17-A22</x:v>
      </x:c>
    </x:row>
    <x:row r="29" ht="94" customHeight="1">
      <x:c r="A29" s="12" t="str">
        <x:v>T23</x:v>
      </x:c>
      <x:c r="B29" s="12" t="str">
        <x:v>Behance Edura</x:v>
      </x:c>
      <x:c r="C29" s="12" t="str">
        <x:v>Mở URL + skim mở đầu</x:v>
      </x:c>
      <x:c r="D29" s="12" t="str">
        <x:v>Đạt truy cập</x:v>
      </x:c>
      <x:c r="E29" s="12" t="str">
        <x:v>Trang Edura của Anh Duy, có UI app quản lý học tập; Project Modules 0-118.</x:v>
      </x:c>
      <x:c r="F29" s="12" t="str">
        <x:v>Không audit toàn bộ 119 modules, chưa trích toàn bộ research/metrics. Lead UI do bạn xác nhận.</x:v>
      </x:c>
      <x:c r="G29" s="12" t="str">
        <x:v>https://www.behance.net/gallery/241524417/Edura-LMS</x:v>
      </x:c>
    </x:row>
    <x:row r="30" ht="94" customHeight="1">
      <x:c r="A30" s="12" t="str">
        <x:v>T24</x:v>
      </x:c>
      <x:c r="B30" s="12" t="str">
        <x:v>Clean deploy</x:v>
      </x:c>
      <x:c r="C30" s="12" t="str">
        <x:v>npm ci + build từ checkout sạch</x:v>
      </x:c>
      <x:c r="D30" s="12" t="str">
        <x:v>Chưa chạy</x:v>
      </x:c>
      <x:c r="E30" s="12" t="str">
        <x:v>Working tree hiện tại build được.</x:v>
      </x:c>
      <x:c r="F30" s="12" t="str">
        <x:v>Không reset/install/redeploy để giữ nguyên thay đổi có sẵn.</x:v>
      </x:c>
      <x:c r="G30" s="12" t="str">
        <x:v>A36</x:v>
      </x:c>
    </x:row>
    <x:row r="31" ht="94" customHeight="1">
      <x:c r="A31" s="12" t="str">
        <x:v>T25</x:v>
      </x:c>
      <x:c r="B31" s="12" t="str">
        <x:v>Performance lab</x:v>
      </x:c>
      <x:c r="C31" s="12" t="str">
        <x:v>Lighthouse/mobile throttle</x:v>
      </x:c>
      <x:c r="D31" s="12" t="str">
        <x:v>Chưa chạy</x:v>
      </x:c>
      <x:c r="E31" s="12" t="str">
        <x:v>Không có điểm Lighthouse hay LCP/INP/CLS đã đo.</x:v>
      </x:c>
      <x:c r="F31" s="12" t="str">
        <x:v>Cần profile sau ưu tiên ảnh và lỗi runtime.</x:v>
      </x:c>
      <x:c r="G31" s="12" t="str">
        <x:v>https://web.dev/articles/vitals</x:v>
      </x:c>
    </x:row>
    <x:row r="32" ht="94" customHeight="1">
      <x:c r="A32" s="12" t="str">
        <x:v>T26</x:v>
      </x:c>
      <x:c r="B32" s="12" t="str">
        <x:v>Cross browser</x:v>
      </x:c>
      <x:c r="C32" s="12" t="str">
        <x:v>Safari/iOS/Android thật</x:v>
      </x:c>
      <x:c r="D32" s="12" t="str">
        <x:v>Chưa chạy</x:v>
      </x:c>
      <x:c r="E32" s="12" t="str">
        <x:v>Kiểm tra hiện tại qua in-app browser và viewport override.</x:v>
      </x:c>
      <x:c r="F32" s="12" t="str">
        <x:v>Cần device/cross-browser smoke trước publish bản nâng cấp.</x:v>
      </x:c>
      <x:c r="G32" s="12" t="str">
        <x:v>A02/A03/A06</x:v>
      </x:c>
    </x:row>
    <x:row r="33" ht="94" customHeight="1">
      <x:c r="A33" s="12" t="str">
        <x:v>T27</x:v>
      </x:c>
      <x:c r="B33" s="12" t="str">
        <x:v>User research</x:v>
      </x:c>
      <x:c r="C33" s="12" t="str">
        <x:v>Interview/task test người xem</x:v>
      </x:c>
      <x:c r="D33" s="12" t="str">
        <x:v>Chưa chạy</x:v>
      </x:c>
      <x:c r="E33" s="12" t="str">
        <x:v>Không có dữ liệu người dùng trực tiếp về portfolio.</x:v>
      </x:c>
      <x:c r="F33" s="12" t="str">
        <x:v>External sources là benchmark, không là complaint hay frequency về trang của bạn.</x:v>
      </x:c>
      <x:c r="G33" s="12" t="str">
        <x:v>I19</x:v>
      </x:c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  <x:row r="36">
      <x:c r="A36" s="20" t="str">
        <x:v>Nguồn tham khảo và cách sử dụng</x:v>
      </x:c>
      <x:c r="B36" s="2"/>
      <x:c r="C36" s="2"/>
      <x:c r="D36" s="2"/>
      <x:c r="E36" s="2"/>
      <x:c r="F36" s="2"/>
      <x:c r="G36" s="2"/>
    </x:row>
    <x:row r="37" ht="65" customHeight="1">
      <x:c r="A37" s="11" t="str">
        <x:v>R01</x:v>
      </x:c>
      <x:c r="B37" s="11" t="str">
        <x:v>UX Design Institute, report 2024</x:v>
      </x:c>
      <x:c r="C37" s="11" t="str">
        <x:v>https://www.uxdesigninstitute.com/state-of-ux-hiring</x:v>
      </x:c>
      <x:c r="D37" s="11" t="str">
        <x:v>Benchmark về lựa chọn case studies. Nguồn năm 2024, không dùng để mô tả thị trường tuyển dụng 2026.</x:v>
      </x:c>
      <x:c r="E37" s="2"/>
      <x:c r="F37" s="2"/>
      <x:c r="G37" s="2"/>
    </x:row>
    <x:row r="38" ht="65" customHeight="1">
      <x:c r="A38" s="11" t="str">
        <x:v>R02</x:v>
      </x:c>
      <x:c r="B38" s="11" t="str">
        <x:v>W3C WCAG 2.2.2</x:v>
      </x:c>
      <x:c r="C38" s="11" t="str">
        <x:v>https://www.w3.org/WAI/WCAG22/Understanding/pause-stop-hide</x:v>
      </x:c>
      <x:c r="D38" s="11" t="str">
        <x:v>Chuẩn pause/stop/hide cho nội dung chuyển động liên tục.</x:v>
      </x:c>
      <x:c r="E38" s="2"/>
      <x:c r="F38" s="2"/>
      <x:c r="G38" s="2"/>
    </x:row>
    <x:row r="39" ht="65" customHeight="1">
      <x:c r="A39" s="11" t="str">
        <x:v>R03</x:v>
      </x:c>
      <x:c r="B39" s="11" t="str">
        <x:v>GSAP React</x:v>
      </x:c>
      <x:c r="C39" s="11" t="str">
        <x:v>https://gsap.com/resources/React/</x:v>
      </x:c>
      <x:c r="D39" s="11" t="str">
        <x:v>Selector scope và contextSafe để xác định root cause Nav.</x:v>
      </x:c>
      <x:c r="E39" s="2"/>
      <x:c r="F39" s="2"/>
      <x:c r="G39" s="2"/>
    </x:row>
    <x:row r="40" ht="65" customHeight="1">
      <x:c r="A40" s="11" t="str">
        <x:v>R04</x:v>
      </x:c>
      <x:c r="B40" s="11" t="str">
        <x:v>GSAP matchMedia</x:v>
      </x:c>
      <x:c r="C40" s="11" t="str">
        <x:v>https://gsap.com/docs/v3/GSAP/gsap.matchMedia()/</x:v>
      </x:c>
      <x:c r="D40" s="11" t="str">
        <x:v>Responsive và reduced-motion, cleanup.</x:v>
      </x:c>
      <x:c r="E40" s="2"/>
      <x:c r="F40" s="2"/>
      <x:c r="G40" s="2"/>
    </x:row>
    <x:row r="41" ht="65" customHeight="1">
      <x:c r="A41" s="11" t="str">
        <x:v>R05</x:v>
      </x:c>
      <x:c r="B41" s="11" t="str">
        <x:v>Vite static deployment</x:v>
      </x:c>
      <x:c r="C41" s="11" t="str">
        <x:v>https://vite.dev/guide/static-deploy.html</x:v>
      </x:c>
      <x:c r="D41" s="11" t="str">
        <x:v>Build/output/preview.</x:v>
      </x:c>
      <x:c r="E41" s="2"/>
      <x:c r="F41" s="2"/>
      <x:c r="G41" s="2"/>
    </x:row>
    <x:row r="42" ht="65" customHeight="1">
      <x:c r="A42" s="11" t="str">
        <x:v>R06</x:v>
      </x:c>
      <x:c r="B42" s="11" t="str">
        <x:v>Web Vitals</x:v>
      </x:c>
      <x:c r="C42" s="11" t="str">
        <x:v>https://web.dev/articles/vitals</x:v>
      </x:c>
      <x:c r="D42" s="11" t="str">
        <x:v>Ngưỡng mục tiêu. Không phải kết quả đo của portfolio.</x:v>
      </x:c>
      <x:c r="E42" s="2"/>
      <x:c r="F42" s="2"/>
      <x:c r="G42" s="2"/>
    </x:row>
    <x:row r="43" ht="65" customHeight="1">
      <x:c r="A43" s="11" t="str">
        <x:v>R07</x:v>
      </x:c>
      <x:c r="B43" s="11" t="str">
        <x:v>Edura case study</x:v>
      </x:c>
      <x:c r="C43" s="11" t="str">
        <x:v>https://www.behance.net/gallery/241524417/Edura-LMS</x:v>
      </x:c>
      <x:c r="D43" s="11" t="str">
        <x:v>Nguồn work thật. Lead UI được người dùng xác nhận, chỉ skim modules mở đầu trong phiên audit.</x:v>
      </x:c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</x:sheetData>
  <x:conditionalFormatting sqref="D7:D33">
    <x:cfRule type="containsText" dxfId="6" priority="1" operator="containsText" text="Lỗi"/>
  </x:conditionalFormatting>
  <x:pageMargins left="0.7" right="0.7" top="0.75" bottom="0.75" header="0.3" footer="0.3"/>
  <x:tableParts count="1">
    <x:tablePart xmlns:r="http://schemas.openxmlformats.org/officeDocument/2006/relationships" r:id="R5785604f972144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0" customHeight="1">
      <x:c r="A2" s="3" t="str">
        <x:v>Ảnh audit trong phiên kiểm tra này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0" customHeight="1">
      <x:c r="A4" s="2" t="str">
        <x:v>Ảnh được chụp từ browser thực tế. E01-E08 liên kết với các findings; filename không quyết định môi trường/viewport.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0" customHeight="1">
      <x:c r="A7" s="20" t="str">
        <x:v>E01. Hero public desktop</x:v>
      </x:c>
      <x:c r="B7" s="2"/>
      <x:c r="C7" s="2"/>
      <x:c r="D7" s="2"/>
      <x:c r="E7" s="2"/>
      <x:c r="F7" s="2"/>
      <x:c r="G7" s="2"/>
      <x:c r="H7" s="2"/>
      <x:c r="I7" s="20" t="str">
        <x:v>E02. Profile public desktop</x:v>
      </x:c>
      <x:c r="J7" s="2"/>
      <x:c r="K7" s="2"/>
      <x:c r="L7" s="2"/>
      <x:c r="M7" s="2"/>
      <x:c r="N7" s="2"/>
      <x:c r="O7" s="2"/>
      <x:c r="P7" s="2"/>
    </x:row>
    <x:row r="8" ht="20" customHeight="1">
      <x:c r="A8" s="11" t="str">
        <x:v>1440×900. Typography mạnh, vai trò multimedia; chưa có CTA case study.</x:v>
      </x:c>
      <x:c r="B8" s="11" t="str">
        <x:v>1440×900. Typography mạnh, vai trò multimedia; chưa có CTA case study.</x:v>
      </x:c>
      <x:c r="C8" s="11" t="str">
        <x:v>1440×900. Typography mạnh, vai trò multimedia; chưa có CTA case study.</x:v>
      </x:c>
      <x:c r="D8" s="11" t="str">
        <x:v>1440×900. Typography mạnh, vai trò multimedia; chưa có CTA case study.</x:v>
      </x:c>
      <x:c r="E8" s="11" t="str">
        <x:v>1440×900. Typography mạnh, vai trò multimedia; chưa có CTA case study.</x:v>
      </x:c>
      <x:c r="F8" s="11" t="str">
        <x:v>1440×900. Typography mạnh, vai trò multimedia; chưa có CTA case study.</x:v>
      </x:c>
      <x:c r="G8" s="11" t="str">
        <x:v>1440×900. Typography mạnh, vai trò multimedia; chưa có CTA case study.</x:v>
      </x:c>
      <x:c r="H8" s="2"/>
      <x:c r="I8" s="11" t="str">
        <x:v>Ảnh thực tế desktop 1440×900. Software/soft skills chiếm nhiều diện tích.</x:v>
      </x:c>
      <x:c r="J8" s="11" t="str">
        <x:v>Ảnh thực tế desktop 1440×900. Software/soft skills chiếm nhiều diện tích.</x:v>
      </x:c>
      <x:c r="K8" s="11" t="str">
        <x:v>Ảnh thực tế desktop 1440×900. Software/soft skills chiếm nhiều diện tích.</x:v>
      </x:c>
      <x:c r="L8" s="11" t="str">
        <x:v>Ảnh thực tế desktop 1440×900. Software/soft skills chiếm nhiều diện tích.</x:v>
      </x:c>
      <x:c r="M8" s="11" t="str">
        <x:v>Ảnh thực tế desktop 1440×900. Software/soft skills chiếm nhiều diện tích.</x:v>
      </x:c>
      <x:c r="N8" s="11" t="str">
        <x:v>Ảnh thực tế desktop 1440×900. Software/soft skills chiếm nhiều diện tích.</x:v>
      </x:c>
      <x:c r="O8" s="11" t="str">
        <x:v>Ảnh thực tế desktop 1440×900. Software/soft skills chiếm nhiều diện tích.</x:v>
      </x:c>
      <x:c r="P8" s="2"/>
    </x:row>
    <x:row r="9" ht="20" customHeight="1">
      <x:c r="A9" s="11" t="str">
        <x:v>1440×900. Typography mạnh, vai trò multimedia; chưa có CTA case study.</x:v>
      </x:c>
      <x:c r="B9" s="11" t="str">
        <x:v>1440×900. Typography mạnh, vai trò multimedia; chưa có CTA case study.</x:v>
      </x:c>
      <x:c r="C9" s="11" t="str">
        <x:v>1440×900. Typography mạnh, vai trò multimedia; chưa có CTA case study.</x:v>
      </x:c>
      <x:c r="D9" s="11" t="str">
        <x:v>1440×900. Typography mạnh, vai trò multimedia; chưa có CTA case study.</x:v>
      </x:c>
      <x:c r="E9" s="11" t="str">
        <x:v>1440×900. Typography mạnh, vai trò multimedia; chưa có CTA case study.</x:v>
      </x:c>
      <x:c r="F9" s="11" t="str">
        <x:v>1440×900. Typography mạnh, vai trò multimedia; chưa có CTA case study.</x:v>
      </x:c>
      <x:c r="G9" s="11" t="str">
        <x:v>1440×900. Typography mạnh, vai trò multimedia; chưa có CTA case study.</x:v>
      </x:c>
      <x:c r="H9" s="2"/>
      <x:c r="I9" s="11" t="str">
        <x:v>Ảnh thực tế desktop 1440×900. Software/soft skills chiếm nhiều diện tích.</x:v>
      </x:c>
      <x:c r="J9" s="11" t="str">
        <x:v>Ảnh thực tế desktop 1440×900. Software/soft skills chiếm nhiều diện tích.</x:v>
      </x:c>
      <x:c r="K9" s="11" t="str">
        <x:v>Ảnh thực tế desktop 1440×900. Software/soft skills chiếm nhiều diện tích.</x:v>
      </x:c>
      <x:c r="L9" s="11" t="str">
        <x:v>Ảnh thực tế desktop 1440×900. Software/soft skills chiếm nhiều diện tích.</x:v>
      </x:c>
      <x:c r="M9" s="11" t="str">
        <x:v>Ảnh thực tế desktop 1440×900. Software/soft skills chiếm nhiều diện tích.</x:v>
      </x:c>
      <x:c r="N9" s="11" t="str">
        <x:v>Ảnh thực tế desktop 1440×900. Software/soft skills chiếm nhiều diện tích.</x:v>
      </x:c>
      <x:c r="O9" s="11" t="str">
        <x:v>Ảnh thực tế desktop 1440×900. Software/soft skills chiếm nhiều diện tích.</x:v>
      </x:c>
      <x:c r="P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0" customHeight="1">
      <x:c r="A28" s="20" t="str">
        <x:v>E03. Work public desktop</x:v>
      </x:c>
      <x:c r="B28" s="2"/>
      <x:c r="C28" s="2"/>
      <x:c r="D28" s="2"/>
      <x:c r="E28" s="2"/>
      <x:c r="F28" s="2"/>
      <x:c r="G28" s="2"/>
      <x:c r="H28" s="2"/>
      <x:c r="I28" s="20" t="str">
        <x:v>E04. Contact public 320 px</x:v>
      </x:c>
      <x:c r="J28" s="2"/>
      <x:c r="K28" s="2"/>
      <x:c r="L28" s="2"/>
      <x:c r="M28" s="2"/>
      <x:c r="N28" s="2"/>
      <x:c r="O28" s="2"/>
      <x:c r="P28" s="2"/>
    </x:row>
    <x:row r="29" ht="20" customHeight="1">
      <x:c r="A29" s="11" t="str">
        <x:v>Nhảy Work: heading nằm sau navbar, Edura summary thiếu Lead UI.</x:v>
      </x:c>
      <x:c r="B29" s="11" t="str">
        <x:v>Nhảy Work: heading nằm sau navbar, Edura summary thiếu Lead UI.</x:v>
      </x:c>
      <x:c r="C29" s="11" t="str">
        <x:v>Nhảy Work: heading nằm sau navbar, Edura summary thiếu Lead UI.</x:v>
      </x:c>
      <x:c r="D29" s="11" t="str">
        <x:v>Nhảy Work: heading nằm sau navbar, Edura summary thiếu Lead UI.</x:v>
      </x:c>
      <x:c r="E29" s="11" t="str">
        <x:v>Nhảy Work: heading nằm sau navbar, Edura summary thiếu Lead UI.</x:v>
      </x:c>
      <x:c r="F29" s="11" t="str">
        <x:v>Nhảy Work: heading nằm sau navbar, Edura summary thiếu Lead UI.</x:v>
      </x:c>
      <x:c r="G29" s="11" t="str">
        <x:v>Nhảy Work: heading nằm sau navbar, Edura summary thiếu Lead UI.</x:v>
      </x:c>
      <x:c r="H29" s="2"/>
      <x:c r="I29" s="11" t="str">
        <x:v>Nav Contact và phần đầu email bị cắt.</x:v>
      </x:c>
      <x:c r="J29" s="11" t="str">
        <x:v>Nav Contact và phần đầu email bị cắt.</x:v>
      </x:c>
      <x:c r="K29" s="11" t="str">
        <x:v>Nav Contact và phần đầu email bị cắt.</x:v>
      </x:c>
      <x:c r="L29" s="11" t="str">
        <x:v>Nav Contact và phần đầu email bị cắt.</x:v>
      </x:c>
      <x:c r="M29" s="11" t="str">
        <x:v>Nav Contact và phần đầu email bị cắt.</x:v>
      </x:c>
      <x:c r="N29" s="11" t="str">
        <x:v>Nav Contact và phần đầu email bị cắt.</x:v>
      </x:c>
      <x:c r="O29" s="11" t="str">
        <x:v>Nav Contact và phần đầu email bị cắt.</x:v>
      </x:c>
      <x:c r="P29" s="2"/>
    </x:row>
    <x:row r="30" ht="20" customHeight="1">
      <x:c r="A30" s="11" t="str">
        <x:v>Nhảy Work: heading nằm sau navbar, Edura summary thiếu Lead UI.</x:v>
      </x:c>
      <x:c r="B30" s="11" t="str">
        <x:v>Nhảy Work: heading nằm sau navbar, Edura summary thiếu Lead UI.</x:v>
      </x:c>
      <x:c r="C30" s="11" t="str">
        <x:v>Nhảy Work: heading nằm sau navbar, Edura summary thiếu Lead UI.</x:v>
      </x:c>
      <x:c r="D30" s="11" t="str">
        <x:v>Nhảy Work: heading nằm sau navbar, Edura summary thiếu Lead UI.</x:v>
      </x:c>
      <x:c r="E30" s="11" t="str">
        <x:v>Nhảy Work: heading nằm sau navbar, Edura summary thiếu Lead UI.</x:v>
      </x:c>
      <x:c r="F30" s="11" t="str">
        <x:v>Nhảy Work: heading nằm sau navbar, Edura summary thiếu Lead UI.</x:v>
      </x:c>
      <x:c r="G30" s="11" t="str">
        <x:v>Nhảy Work: heading nằm sau navbar, Edura summary thiếu Lead UI.</x:v>
      </x:c>
      <x:c r="H30" s="2"/>
      <x:c r="I30" s="11" t="str">
        <x:v>Nav Contact và phần đầu email bị cắt.</x:v>
      </x:c>
      <x:c r="J30" s="11" t="str">
        <x:v>Nav Contact và phần đầu email bị cắt.</x:v>
      </x:c>
      <x:c r="K30" s="11" t="str">
        <x:v>Nav Contact và phần đầu email bị cắt.</x:v>
      </x:c>
      <x:c r="L30" s="11" t="str">
        <x:v>Nav Contact và phần đầu email bị cắt.</x:v>
      </x:c>
      <x:c r="M30" s="11" t="str">
        <x:v>Nav Contact và phần đầu email bị cắt.</x:v>
      </x:c>
      <x:c r="N30" s="11" t="str">
        <x:v>Nav Contact và phần đầu email bị cắt.</x:v>
      </x:c>
      <x:c r="O30" s="11" t="str">
        <x:v>Nav Contact và phần đầu email bị cắt.</x:v>
      </x:c>
      <x:c r="P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0" customHeight="1">
      <x:c r="A49" s="20" t="str">
        <x:v>E05. Hero local 375 px</x:v>
      </x:c>
      <x:c r="B49" s="2"/>
      <x:c r="C49" s="2"/>
      <x:c r="D49" s="2"/>
      <x:c r="E49" s="2"/>
      <x:c r="F49" s="2"/>
      <x:c r="G49" s="2"/>
      <x:c r="H49" s="2"/>
      <x:c r="I49" s="20" t="str">
        <x:v>E06. Gallery local 720 px</x:v>
      </x:c>
      <x:c r="J49" s="2"/>
      <x:c r="K49" s="2"/>
      <x:c r="L49" s="2"/>
      <x:c r="M49" s="2"/>
      <x:c r="N49" s="2"/>
      <x:c r="O49" s="2"/>
      <x:c r="P49" s="2"/>
    </x:row>
    <x:row r="50" ht="20" customHeight="1">
      <x:c r="A50" s="11" t="str">
        <x:v>Thêm Journey làm menu tràn; Contact bị cắt.</x:v>
      </x:c>
      <x:c r="B50" s="11" t="str">
        <x:v>Thêm Journey làm menu tràn; Contact bị cắt.</x:v>
      </x:c>
      <x:c r="C50" s="11" t="str">
        <x:v>Thêm Journey làm menu tràn; Contact bị cắt.</x:v>
      </x:c>
      <x:c r="D50" s="11" t="str">
        <x:v>Thêm Journey làm menu tràn; Contact bị cắt.</x:v>
      </x:c>
      <x:c r="E50" s="11" t="str">
        <x:v>Thêm Journey làm menu tràn; Contact bị cắt.</x:v>
      </x:c>
      <x:c r="F50" s="11" t="str">
        <x:v>Thêm Journey làm menu tràn; Contact bị cắt.</x:v>
      </x:c>
      <x:c r="G50" s="11" t="str">
        <x:v>Thêm Journey làm menu tràn; Contact bị cắt.</x:v>
      </x:c>
      <x:c r="H50" s="2"/>
      <x:c r="I50" s="11" t="str">
        <x:v>Khung h-screen cắt heading/progress. Covers cho thấy VERIS emotional story và lỗi English.</x:v>
      </x:c>
      <x:c r="J50" s="11" t="str">
        <x:v>Khung h-screen cắt heading/progress. Covers cho thấy VERIS emotional story và lỗi English.</x:v>
      </x:c>
      <x:c r="K50" s="11" t="str">
        <x:v>Khung h-screen cắt heading/progress. Covers cho thấy VERIS emotional story và lỗi English.</x:v>
      </x:c>
      <x:c r="L50" s="11" t="str">
        <x:v>Khung h-screen cắt heading/progress. Covers cho thấy VERIS emotional story và lỗi English.</x:v>
      </x:c>
      <x:c r="M50" s="11" t="str">
        <x:v>Khung h-screen cắt heading/progress. Covers cho thấy VERIS emotional story và lỗi English.</x:v>
      </x:c>
      <x:c r="N50" s="11" t="str">
        <x:v>Khung h-screen cắt heading/progress. Covers cho thấy VERIS emotional story và lỗi English.</x:v>
      </x:c>
      <x:c r="O50" s="11" t="str">
        <x:v>Khung h-screen cắt heading/progress. Covers cho thấy VERIS emotional story và lỗi English.</x:v>
      </x:c>
      <x:c r="P50" s="2"/>
    </x:row>
    <x:row r="51" ht="20" customHeight="1">
      <x:c r="A51" s="11" t="str">
        <x:v>Thêm Journey làm menu tràn; Contact bị cắt.</x:v>
      </x:c>
      <x:c r="B51" s="11" t="str">
        <x:v>Thêm Journey làm menu tràn; Contact bị cắt.</x:v>
      </x:c>
      <x:c r="C51" s="11" t="str">
        <x:v>Thêm Journey làm menu tràn; Contact bị cắt.</x:v>
      </x:c>
      <x:c r="D51" s="11" t="str">
        <x:v>Thêm Journey làm menu tràn; Contact bị cắt.</x:v>
      </x:c>
      <x:c r="E51" s="11" t="str">
        <x:v>Thêm Journey làm menu tràn; Contact bị cắt.</x:v>
      </x:c>
      <x:c r="F51" s="11" t="str">
        <x:v>Thêm Journey làm menu tràn; Contact bị cắt.</x:v>
      </x:c>
      <x:c r="G51" s="11" t="str">
        <x:v>Thêm Journey làm menu tràn; Contact bị cắt.</x:v>
      </x:c>
      <x:c r="H51" s="2"/>
      <x:c r="I51" s="11" t="str">
        <x:v>Khung h-screen cắt heading/progress. Covers cho thấy VERIS emotional story và lỗi English.</x:v>
      </x:c>
      <x:c r="J51" s="11" t="str">
        <x:v>Khung h-screen cắt heading/progress. Covers cho thấy VERIS emotional story và lỗi English.</x:v>
      </x:c>
      <x:c r="K51" s="11" t="str">
        <x:v>Khung h-screen cắt heading/progress. Covers cho thấy VERIS emotional story và lỗi English.</x:v>
      </x:c>
      <x:c r="L51" s="11" t="str">
        <x:v>Khung h-screen cắt heading/progress. Covers cho thấy VERIS emotional story và lỗi English.</x:v>
      </x:c>
      <x:c r="M51" s="11" t="str">
        <x:v>Khung h-screen cắt heading/progress. Covers cho thấy VERIS emotional story và lỗi English.</x:v>
      </x:c>
      <x:c r="N51" s="11" t="str">
        <x:v>Khung h-screen cắt heading/progress. Covers cho thấy VERIS emotional story và lỗi English.</x:v>
      </x:c>
      <x:c r="O51" s="11" t="str">
        <x:v>Khung h-screen cắt heading/progress. Covers cho thấy VERIS emotional story và lỗi English.</x:v>
      </x:c>
      <x:c r="P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0" customHeight="1">
      <x:c r="A70" s="20" t="str">
        <x:v>E07. Contact local tablet</x:v>
      </x:c>
      <x:c r="B70" s="2"/>
      <x:c r="C70" s="2"/>
      <x:c r="D70" s="2"/>
      <x:c r="E70" s="2"/>
      <x:c r="F70" s="2"/>
      <x:c r="G70" s="2"/>
      <x:c r="H70" s="2"/>
      <x:c r="I70" s="20" t="str">
        <x:v>E08. Edura trên Behance</x:v>
      </x:c>
      <x:c r="J70" s="2"/>
      <x:c r="K70" s="2"/>
      <x:c r="L70" s="2"/>
      <x:c r="M70" s="2"/>
      <x:c r="N70" s="2"/>
      <x:c r="O70" s="2"/>
      <x:c r="P70" s="2"/>
    </x:row>
    <x:row r="71" ht="20" customHeight="1">
      <x:c r="A71" s="11" t="str">
        <x:v>768×1024. CONNECT vỡ thành hai phần giữa từ.</x:v>
      </x:c>
      <x:c r="B71" s="11" t="str">
        <x:v>768×1024. CONNECT vỡ thành hai phần giữa từ.</x:v>
      </x:c>
      <x:c r="C71" s="11" t="str">
        <x:v>768×1024. CONNECT vỡ thành hai phần giữa từ.</x:v>
      </x:c>
      <x:c r="D71" s="11" t="str">
        <x:v>768×1024. CONNECT vỡ thành hai phần giữa từ.</x:v>
      </x:c>
      <x:c r="E71" s="11" t="str">
        <x:v>768×1024. CONNECT vỡ thành hai phần giữa từ.</x:v>
      </x:c>
      <x:c r="F71" s="11" t="str">
        <x:v>768×1024. CONNECT vỡ thành hai phần giữa từ.</x:v>
      </x:c>
      <x:c r="G71" s="11" t="str">
        <x:v>768×1024. CONNECT vỡ thành hai phần giữa từ.</x:v>
      </x:c>
      <x:c r="H71" s="2"/>
      <x:c r="I71" s="11" t="str">
        <x:v>URL và tác giả đúng. Cover lớp học; UI thật hiện ở module sau.</x:v>
      </x:c>
      <x:c r="J71" s="11" t="str">
        <x:v>URL và tác giả đúng. Cover lớp học; UI thật hiện ở module sau.</x:v>
      </x:c>
      <x:c r="K71" s="11" t="str">
        <x:v>URL và tác giả đúng. Cover lớp học; UI thật hiện ở module sau.</x:v>
      </x:c>
      <x:c r="L71" s="11" t="str">
        <x:v>URL và tác giả đúng. Cover lớp học; UI thật hiện ở module sau.</x:v>
      </x:c>
      <x:c r="M71" s="11" t="str">
        <x:v>URL và tác giả đúng. Cover lớp học; UI thật hiện ở module sau.</x:v>
      </x:c>
      <x:c r="N71" s="11" t="str">
        <x:v>URL và tác giả đúng. Cover lớp học; UI thật hiện ở module sau.</x:v>
      </x:c>
      <x:c r="O71" s="11" t="str">
        <x:v>URL và tác giả đúng. Cover lớp học; UI thật hiện ở module sau.</x:v>
      </x:c>
      <x:c r="P71" s="2"/>
    </x:row>
    <x:row r="72" ht="20" customHeight="1">
      <x:c r="A72" s="11" t="str">
        <x:v>768×1024. CONNECT vỡ thành hai phần giữa từ.</x:v>
      </x:c>
      <x:c r="B72" s="11" t="str">
        <x:v>768×1024. CONNECT vỡ thành hai phần giữa từ.</x:v>
      </x:c>
      <x:c r="C72" s="11" t="str">
        <x:v>768×1024. CONNECT vỡ thành hai phần giữa từ.</x:v>
      </x:c>
      <x:c r="D72" s="11" t="str">
        <x:v>768×1024. CONNECT vỡ thành hai phần giữa từ.</x:v>
      </x:c>
      <x:c r="E72" s="11" t="str">
        <x:v>768×1024. CONNECT vỡ thành hai phần giữa từ.</x:v>
      </x:c>
      <x:c r="F72" s="11" t="str">
        <x:v>768×1024. CONNECT vỡ thành hai phần giữa từ.</x:v>
      </x:c>
      <x:c r="G72" s="11" t="str">
        <x:v>768×1024. CONNECT vỡ thành hai phần giữa từ.</x:v>
      </x:c>
      <x:c r="H72" s="2"/>
      <x:c r="I72" s="11" t="str">
        <x:v>URL và tác giả đúng. Cover lớp học; UI thật hiện ở module sau.</x:v>
      </x:c>
      <x:c r="J72" s="11" t="str">
        <x:v>URL và tác giả đúng. Cover lớp học; UI thật hiện ở module sau.</x:v>
      </x:c>
      <x:c r="K72" s="11" t="str">
        <x:v>URL và tác giả đúng. Cover lớp học; UI thật hiện ở module sau.</x:v>
      </x:c>
      <x:c r="L72" s="11" t="str">
        <x:v>URL và tác giả đúng. Cover lớp học; UI thật hiện ở module sau.</x:v>
      </x:c>
      <x:c r="M72" s="11" t="str">
        <x:v>URL và tác giả đúng. Cover lớp học; UI thật hiện ở module sau.</x:v>
      </x:c>
      <x:c r="N72" s="11" t="str">
        <x:v>URL và tác giả đúng. Cover lớp học; UI thật hiện ở module sau.</x:v>
      </x:c>
      <x:c r="O72" s="11" t="str">
        <x:v>URL và tác giả đúng. Cover lớp học; UI thật hiện ở module sau.</x:v>
      </x:c>
      <x:c r="P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</x:sheetData>
  <x:mergeCells>
    <x:mergeCell ref="A8:G9"/>
    <x:mergeCell ref="I8:O9"/>
    <x:mergeCell ref="A29:G30"/>
    <x:mergeCell ref="I29:O30"/>
    <x:mergeCell ref="A50:G51"/>
    <x:mergeCell ref="I50:O51"/>
    <x:mergeCell ref="A71:G72"/>
    <x:mergeCell ref="I71:O72"/>
  </x:mergeCells>
  <x:pageMargins left="0.7" right="0.7" top="0.75" bottom="0.75" header="0.3" footer="0.3"/>
  <x:drawing xmlns:r="http://schemas.openxmlformats.org/officeDocument/2006/relationships" r:id="R02898b197aec462c"/>
</x:worksheet>
</file>